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AZKO_Kategori" sheetId="2" state="visible" r:id="rId4"/>
    <sheet name="AZKO_Pesaing" sheetId="3" state="visible" r:id="rId5"/>
    <sheet name="INFORMA_Kategori" sheetId="4" state="visible" r:id="rId6"/>
    <sheet name="INFORMA_Pesaing" sheetId="5" state="visible" r:id="rId7"/>
    <sheet name="TK_Kategori" sheetId="6" state="visible" r:id="rId8"/>
    <sheet name="TK_Pesaing" sheetId="7" state="visible" r:id="rId9"/>
    <sheet name="Profil_Pesaing" sheetId="8" state="visible" r:id="rId10"/>
    <sheet name="Verifikasi" sheetId="9" state="visible" r:id="rId11"/>
    <sheet name="Pasar_Online" sheetId="10" state="visible" r:id="rId12"/>
    <sheet name="Sumber" sheetId="11" state="visible" r:id="rId13"/>
  </sheets>
  <definedNames>
    <definedName function="false" hidden="true" localSheetId="1" name="_xlnm._FilterDatabase" vbProcedure="false">AZKO_Kategori!$A$4:$G$14</definedName>
    <definedName function="false" hidden="true" localSheetId="2" name="_xlnm._FilterDatabase" vbProcedure="false">AZKO_Pesaing!$A$4:$F$14</definedName>
    <definedName function="false" hidden="true" localSheetId="3" name="_xlnm._FilterDatabase" vbProcedure="false">INFORMA_Kategori!$A$4:$G$13</definedName>
    <definedName function="false" hidden="true" localSheetId="4" name="_xlnm._FilterDatabase" vbProcedure="false">INFORMA_Pesaing!$A$4:$F$13</definedName>
    <definedName function="false" hidden="true" localSheetId="9" name="_xlnm._FilterDatabase" vbProcedure="false">Pasar_Online!$A$4:$D$8</definedName>
    <definedName function="false" hidden="true" localSheetId="7" name="_xlnm._FilterDatabase" vbProcedure="false">Profil_Pesaing!$A$4:$F$24</definedName>
    <definedName function="false" hidden="true" localSheetId="10" name="_xlnm._FilterDatabase" vbProcedure="false">Sumber!$A$4:$C$19</definedName>
    <definedName function="false" hidden="true" localSheetId="5" name="_xlnm._FilterDatabase" vbProcedure="false">TK_Kategori!$A$4:$G$12</definedName>
    <definedName function="false" hidden="true" localSheetId="6" name="_xlnm._FilterDatabase" vbProcedure="false">TK_Pesaing!$A$4:$F$11</definedName>
    <definedName function="false" hidden="true" localSheetId="8" name="_xlnm._FilterDatabase" vbProcedure="false">Verifikasi!$A$4:$E$11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<sst xmlns="http://schemas.openxmlformats.org/spreadsheetml/2006/main" count="614" uniqueCount="408">
  <si>
    <t xml:space="preserve">Riset Kategori &amp; Pesaing: AZKO, INFORMA, Toys Kingdom (Oktober 2026)</t>
  </si>
  <si>
    <t xml:space="preserve">Cara baca: tiap brand punya sheet _Kategori (apa yang dijual &amp; andalan) dan _Pesaing (pesaing chain store + ancaman online per kategori). Baris kuning = kategori andalan.</t>
  </si>
  <si>
    <t xml:space="preserve">Brand</t>
  </si>
  <si>
    <t xml:space="preserve">Operator</t>
  </si>
  <si>
    <t xml:space="preserve">Jumlah toko</t>
  </si>
  <si>
    <t xml:space="preserve">Jumlah kategori</t>
  </si>
  <si>
    <t xml:space="preserve">Kategori andalan</t>
  </si>
  <si>
    <t xml:space="preserve">Kekuatan inti</t>
  </si>
  <si>
    <t xml:space="preserve">Pesaing chain terberat</t>
  </si>
  <si>
    <t xml:space="preserve">Ancaman online terbesar</t>
  </si>
  <si>
    <t xml:space="preserve">AZKO</t>
  </si>
  <si>
    <t xml:space="preserve">PT Aspirasi Hidup Indonesia Tbk (ACES), Kawan Lama</t>
  </si>
  <si>
    <t xml:space="preserve">276 toko + 14 NEKA (2026)</t>
  </si>
  <si>
    <t xml:space="preserve">Kipas/air cooler/air purifier; rak &amp; furnitur lipat; alat kebersihan; lampu LED; tangga &amp; brankas</t>
  </si>
  <si>
    <t xml:space="preserve">52 merek sendiri (Krisbow, Kris, Stora, Soleil, Proclean)</t>
  </si>
  <si>
    <t xml:space="preserve">MR.DIY (8 dari 10 kategori); Ace Hardware/MAP (format sama); IKEA; Mitra10; MINISO</t>
  </si>
  <si>
    <t xml:space="preserve">Elektronik kecil (Xiaomi, Miyako, Taffware); alat pel (BOLDe); lampu &amp; rak impor</t>
  </si>
  <si>
    <t xml:space="preserve">INFORMA</t>
  </si>
  <si>
    <t xml:space="preserve">PT Home Center Indonesia, Kawan Lama</t>
  </si>
  <si>
    <t xml:space="preserve">125+ toko di 55 kota (2025)</t>
  </si>
  <si>
    <t xml:space="preserve">Meja tamu &amp; set makan; rak &amp; lemari pajang; kasur INFORMA Sleep; kursi kantor; elektronik besar</t>
  </si>
  <si>
    <t xml:space="preserve">Jangkauan kota; desain interior &amp; instalasi gratis; cicilan 0%</t>
  </si>
  <si>
    <t xml:space="preserve">IKEA (6 dari 9 kategori); JYSK; SLEEP &amp; Co/DAP; Electronic City/Erajaya</t>
  </si>
  <si>
    <t xml:space="preserve">Kasur in-a-box (InTheBox, Uniland, Zinus); official store elektronik</t>
  </si>
  <si>
    <t xml:space="preserve">Toys Kingdom</t>
  </si>
  <si>
    <t xml:space="preserve">PT Toys Games Indonesia, Kawan Lama</t>
  </si>
  <si>
    <t xml:space="preserve">77 toko di 26+ kota (2026)</t>
  </si>
  <si>
    <t xml:space="preserve">Mainan koleksi (Toys Gen); LEGO &amp; bricks; mainan berlisensi</t>
  </si>
  <si>
    <t xml:space="preserve">Multi-brand koleksi; jangkauan kota tier-2; co-location AZKO/INFORMA</t>
  </si>
  <si>
    <t xml:space="preserve">Grup MAP (Kidz Station, 26 LEGO Certified Store, Babyz Station); POP MART; TOP TOY/MINISO</t>
  </si>
  <si>
    <t xml:space="preserve">Blind box (POP MART LazMall, barang palsu); mainan impor murah; bricks tiruan</t>
  </si>
  <si>
    <t xml:space="preserve">Daftar sheet</t>
  </si>
  <si>
    <t xml:space="preserve">AZKO_Kategori</t>
  </si>
  <si>
    <t xml:space="preserve">AZKO_Pesaing</t>
  </si>
  <si>
    <t xml:space="preserve">INFORMA_Kategori</t>
  </si>
  <si>
    <t xml:space="preserve">INFORMA_Pesaing</t>
  </si>
  <si>
    <t xml:space="preserve">TK_Kategori</t>
  </si>
  <si>
    <t xml:space="preserve">TK_Pesaing</t>
  </si>
  <si>
    <t xml:space="preserve">Profil_Pesaing</t>
  </si>
  <si>
    <t xml:space="preserve">Verifikasi</t>
  </si>
  <si>
    <t xml:space="preserve">Pasar_Online</t>
  </si>
  <si>
    <t xml:space="preserve">Sumber</t>
  </si>
  <si>
    <t xml:space="preserve">AZKO: 10 kategori produk</t>
  </si>
  <si>
    <t xml:space="preserve">SKU = jumlah produk di ruparupa.com/azko (Okt 2026), ukuran lebar assortment, bukan omzet. Andalan disimpulkan dari daftar terlaris, ulasan &amp; pencarian populer (data internal Kawan Lama).</t>
  </si>
  <si>
    <t xml:space="preserve">Pilar</t>
  </si>
  <si>
    <t xml:space="preserve">Kategori</t>
  </si>
  <si>
    <t xml:space="preserve">SKU online</t>
  </si>
  <si>
    <t xml:space="preserve">Porsi SKU</t>
  </si>
  <si>
    <t xml:space="preserve">Andalan?</t>
  </si>
  <si>
    <t xml:space="preserve">Subkategori utama</t>
  </si>
  <si>
    <t xml:space="preserve">Bukti / produk contoh</t>
  </si>
  <si>
    <t xml:space="preserve">Home Improvement</t>
  </si>
  <si>
    <t xml:space="preserve">Renovasi &amp; Perlengkapan Rumah</t>
  </si>
  <si>
    <t xml:space="preserve">Ya (tangga, brankas)</t>
  </si>
  <si>
    <t xml:space="preserve">Perkakas, perkakas listrik, tangga, listrik, cat, lantai &amp; dinding, pintu, perekat, CCTV &amp; kunci, brankas</t>
  </si>
  <si>
    <t xml:space="preserve">Krisbow Brankas Digital (3 varian di daftar terlaris); 'tangga' pencarian #2</t>
  </si>
  <si>
    <t xml:space="preserve">Kamar Mandi &amp; Laundry</t>
  </si>
  <si>
    <t xml:space="preserve">Tidak</t>
  </si>
  <si>
    <t xml:space="preserve">Keran &amp; shower, toilet, aksesoris kamar mandi, meja setrika, keranjang laundry, jemuran</t>
  </si>
  <si>
    <t xml:space="preserve">Stora Meja Setrika, Krisbow dispenser sabun</t>
  </si>
  <si>
    <t xml:space="preserve">Peralatan Elektronik</t>
  </si>
  <si>
    <t xml:space="preserve">Ya, nomor 1</t>
  </si>
  <si>
    <t xml:space="preserve">Kipas &amp; pendingin udara, elektronik dapur, vacuum, setrika, dispenser, alat kecantikan, audio</t>
  </si>
  <si>
    <t xml:space="preserve">17 dari ±47 produk terlaris; APA kipas 1.177 ulasan; Krisbow Sync air purifier</t>
  </si>
  <si>
    <t xml:space="preserve">Lampu &amp; Bohlam</t>
  </si>
  <si>
    <t xml:space="preserve">Ya</t>
  </si>
  <si>
    <t xml:space="preserve">Lampu indoor, lampu outdoor, bohlam &amp; aksesoris</t>
  </si>
  <si>
    <t xml:space="preserve">Krisbow Lumi LED 2.120 ulasan (terbanyak)</t>
  </si>
  <si>
    <t xml:space="preserve">Life Improvement</t>
  </si>
  <si>
    <t xml:space="preserve">Hobi &amp; Gaya Hidup</t>
  </si>
  <si>
    <t xml:space="preserve">Tidak (pembangun traffic)</t>
  </si>
  <si>
    <t xml:space="preserve">Travel/koper, hewan peliharaan, alat kesehatan, berkebun, stationery, mainan, musik, Ataru</t>
  </si>
  <si>
    <t xml:space="preserve">SKU terbanyak; 'koper', 'tumbler' di pencarian populer</t>
  </si>
  <si>
    <t xml:space="preserve">Home Accents / Home Living</t>
  </si>
  <si>
    <t xml:space="preserve">Ya (rak, furnitur lipat)</t>
  </si>
  <si>
    <t xml:space="preserve">Rak &amp; penyimpanan, furnitur &amp; furnitur outdoor, dekorasi, tekstil, karpet, pengharum ruangan</t>
  </si>
  <si>
    <t xml:space="preserve">Soleil kursi lipat &amp; teras, Stora rak besi (325 ulasan), Krisbow meja lipat (616)</t>
  </si>
  <si>
    <t xml:space="preserve">Dapur</t>
  </si>
  <si>
    <t xml:space="preserve">Peralatan memasak, tempat penyimpanan, alat makan &amp; minum, BBQ, tekstil dapur</t>
  </si>
  <si>
    <t xml:space="preserve">Culinart, Lustroware</t>
  </si>
  <si>
    <t xml:space="preserve">Otomotif</t>
  </si>
  <si>
    <t xml:space="preserve">Perawatan kendaraan, aksesoris interior &amp; eksterior mobil, aksesoris motor</t>
  </si>
  <si>
    <t xml:space="preserve">Soft 99, WD-40</t>
  </si>
  <si>
    <t xml:space="preserve">Peralatan Kebersihan</t>
  </si>
  <si>
    <t xml:space="preserve">Alat pel, sapu, ember, cairan pembersih, tempat sampah</t>
  </si>
  <si>
    <t xml:space="preserve">Proclean alat pel (440 ulasan), 5 produk di daftar terlaris</t>
  </si>
  <si>
    <t xml:space="preserve">Olahraga &amp; Outdoor</t>
  </si>
  <si>
    <t xml:space="preserve">Peralatan olahraga, sepeda, aktivitas outdoor</t>
  </si>
  <si>
    <t xml:space="preserve">Kinetic dumbbell, Soleil cooler box</t>
  </si>
  <si>
    <t xml:space="preserve">Total</t>
  </si>
  <si>
    <t xml:space="preserve">AZKO: pesaing chain store &amp; ancaman online per kategori</t>
  </si>
  <si>
    <t xml:space="preserve">Hanya chain store (bukan toko mom-and-pop). Ancaman online: tipe A = official store brand, B = brand online-native, C = barang impor murah via seller marketplace.</t>
  </si>
  <si>
    <t xml:space="preserve">Pesaing chain store</t>
  </si>
  <si>
    <t xml:space="preserve">Ancaman chain</t>
  </si>
  <si>
    <t xml:space="preserve">Penggerus online</t>
  </si>
  <si>
    <t xml:space="preserve">Ancaman online</t>
  </si>
  <si>
    <t xml:space="preserve">Electronic City, Erajaya/Eraspace, MR.DIY, Ace Hardware (MAP), Hartono, Best Denki, Transmart/Hypermart</t>
  </si>
  <si>
    <t xml:space="preserve">Tinggi</t>
  </si>
  <si>
    <t xml:space="preserve">Xiaomi/Mijia, Miyako, Cosmos, Maspion, Sharp, Philips (A); Taffware (B); vacuum murah impor (C)</t>
  </si>
  <si>
    <t xml:space="preserve">Sangat tinggi</t>
  </si>
  <si>
    <t xml:space="preserve">Home Accents / storage &amp; furnitur lipat</t>
  </si>
  <si>
    <t xml:space="preserve">IKEA, JYSK, MR.DIY, MINISO, MUJI, Mitra10 + Atria</t>
  </si>
  <si>
    <t xml:space="preserve">Shinpo, Lion Star, Napolly, Olymplast (A); rak &amp; kursi lipat tanpa merek (C); IKEA online</t>
  </si>
  <si>
    <t xml:space="preserve">MR.DIY, Daiso, MINISO, Transmart/Hypermart, Indomaret/Alfamart</t>
  </si>
  <si>
    <t xml:space="preserve">Sedang</t>
  </si>
  <si>
    <t xml:space="preserve">BOLDe, Bonbox, Dragon (mendominasi terlaris Lazada); Clean Matic</t>
  </si>
  <si>
    <t xml:space="preserve">Mitra10, Depo Bangunan, MR.DIY, IKEA, Ace Hardware</t>
  </si>
  <si>
    <t xml:space="preserve">Philips/Signify, Hannochs, Xiaomi (A); LED tanpa merek (C)</t>
  </si>
  <si>
    <t xml:space="preserve">Mitra10, Depo Bangunan, Ace Hardware (MAP), MR.DIY, Grand Mitra, Kokoh/Mitraruma</t>
  </si>
  <si>
    <t xml:space="preserve">Bosch, Makita, Tekiro, INGCO (A); seller tangga &amp; brankas</t>
  </si>
  <si>
    <t xml:space="preserve">Mitra10, Depo Bangunan, IKEA, MR.DIY, hipermarket</t>
  </si>
  <si>
    <t xml:space="preserve">TOTO, American Standard (A); aksesoris murah (C)</t>
  </si>
  <si>
    <t xml:space="preserve">IKEA, MR.DIY, MINISO, Daiso, MUJI, Transmart/Hypermart, Sogo</t>
  </si>
  <si>
    <t xml:space="preserve">Lock&amp;Lock, Oxone, Maspion, Kirin, Cosmos (A); peralatan masak impor (C)</t>
  </si>
  <si>
    <t xml:space="preserve">MINISO, Gramedia (146 toko), PetShop Indonesia (±40), Guardian, Watsons</t>
  </si>
  <si>
    <t xml:space="preserve">Koper &amp; tumbler impor (C); pet food official store (A)</t>
  </si>
  <si>
    <t xml:space="preserve">Decathlon (±18), Eiger (300+), MAP Active (Sports Station, Planet Sports)</t>
  </si>
  <si>
    <t xml:space="preserve">Decathlon online; dumbbell impor (C); Taffware outdoor (B)</t>
  </si>
  <si>
    <t xml:space="preserve">Shop&amp;Drive (390+), Planet Ban, MR.DIY</t>
  </si>
  <si>
    <t xml:space="preserve">Seller aksesoris &amp; perawatan mobil (C)</t>
  </si>
  <si>
    <t xml:space="preserve">INFORMA: 9 kategori produk</t>
  </si>
  <si>
    <t xml:space="preserve">SKU = jumlah produk di ruparupa.com/informastore (Okt 2026). Andalan dari daftar Produk Terlaris INFORMA (34 produk) dan jumlah ulasan.</t>
  </si>
  <si>
    <t xml:space="preserve">Sub-brand terkait</t>
  </si>
  <si>
    <t xml:space="preserve">Dekorasi</t>
  </si>
  <si>
    <t xml:space="preserve">Dekorasi rumah, tekstil (gorden, karpet), lampu hias</t>
  </si>
  <si>
    <t xml:space="preserve">Cermin rias 5x (221 ulasan)</t>
  </si>
  <si>
    <t xml:space="preserve">Furnitur</t>
  </si>
  <si>
    <t xml:space="preserve">Custom Furniture, The Gallery, Ashley</t>
  </si>
  <si>
    <t xml:space="preserve">Ruang tamu (sofa, meja tamu), ruang makan, ruang tidur, ruang belajar, ruang kerja, outdoor</t>
  </si>
  <si>
    <t xml:space="preserve">Topaz Meja Tamu 1rb+ ulasan per warna; Yericho set makan; Umura kursi kantor (297)</t>
  </si>
  <si>
    <t xml:space="preserve">Elektronik</t>
  </si>
  <si>
    <t xml:space="preserve">INFORMA Electronics (KELS)</t>
  </si>
  <si>
    <t xml:space="preserve">TV, AC, kulkas, mesin cuci, small appliances, elektronik dapur, audio</t>
  </si>
  <si>
    <t xml:space="preserve">Format toko terpisah yang sedang ekspansi</t>
  </si>
  <si>
    <t xml:space="preserve">Perlengkapan Dapur</t>
  </si>
  <si>
    <t xml:space="preserve">Peralatan dapur, alat makan &amp; minum, penyimpanan makanan</t>
  </si>
  <si>
    <t xml:space="preserve">Appetite teko kaca (287)</t>
  </si>
  <si>
    <t xml:space="preserve">Kasur &amp; Linen</t>
  </si>
  <si>
    <t xml:space="preserve">INFORMA Sleep</t>
  </si>
  <si>
    <t xml:space="preserve">Kasur/matras, bantal &amp; guling, sprei, selimut, bed cover</t>
  </si>
  <si>
    <t xml:space="preserve">Bantal &amp; guling (659); kasur in a box (308)</t>
  </si>
  <si>
    <t xml:space="preserve">Wearables</t>
  </si>
  <si>
    <t xml:space="preserve">Tas fashion</t>
  </si>
  <si>
    <t xml:space="preserve">Kategori pelengkap</t>
  </si>
  <si>
    <t xml:space="preserve">Tempat Penyimpanan</t>
  </si>
  <si>
    <t xml:space="preserve">Ya (laris)</t>
  </si>
  <si>
    <t xml:space="preserve">Lemari, rak (buku, sepatu, besi), kotak penyimpanan</t>
  </si>
  <si>
    <t xml:space="preserve">Libie rak metal 1rb+, rak besi 568, lemari pajang 264; hampir separuh daftar terlaris</t>
  </si>
  <si>
    <t xml:space="preserve">Kamar Mandi &amp; Kebersihan</t>
  </si>
  <si>
    <t xml:space="preserve">Furnitur &amp; aksesoris kamar mandi, kebersihan, laundry</t>
  </si>
  <si>
    <t xml:space="preserve">Commercial</t>
  </si>
  <si>
    <t xml:space="preserve">Restoran/kafe, hotel, sekolah, salon, ruang tunggu, auditorium</t>
  </si>
  <si>
    <t xml:space="preserve">B2B / proyek</t>
  </si>
  <si>
    <t xml:space="preserve">INFORMA: pesaing chain store &amp; ancaman online per kategori</t>
  </si>
  <si>
    <t xml:space="preserve">Hanya chain store. Ancaman online: A = official store brand, B = brand online-native, C = barang impor murah.</t>
  </si>
  <si>
    <t xml:space="preserve">IKEA, JYSK, Vivere, Atria (Mitra10), Dekoruma, Courts (status perlu dicek)</t>
  </si>
  <si>
    <t xml:space="preserve">Red Sun Jepara (B), Olympic (A), Dekoruma/Blibli, IKEA online; 86% perabot masih dibeli offline</t>
  </si>
  <si>
    <t xml:space="preserve">SLEEP &amp; Co/DAP (King Koil, Serta, Tempur, Florence), JYSK, IKEA, Sogo, Metro</t>
  </si>
  <si>
    <t xml:space="preserve">InTheBox, Uniland, Zinus, Domi, Quantum (top 5 kasur Shopee Agt 2025)</t>
  </si>
  <si>
    <t xml:space="preserve">Electronic City, Erajaya/Eraspace, Hartono, Best Denki, Electronic Solution</t>
  </si>
  <si>
    <t xml:space="preserve">Official store Samsung, LG, Sharp, Polytron (A); promo tanggal kembar</t>
  </si>
  <si>
    <t xml:space="preserve">IKEA, JYSK, MR.DIY, MINISO</t>
  </si>
  <si>
    <t xml:space="preserve">Shinpo, Lion Star, Napolly (A); rak tanpa merek (C); IKEA online</t>
  </si>
  <si>
    <t xml:space="preserve">IKEA, JYSK, MINISO, MR.DIY, MUJI, Zara Home</t>
  </si>
  <si>
    <t xml:space="preserve">Barang impor murah, seller dekor di TikTok live (C)</t>
  </si>
  <si>
    <t xml:space="preserve">IKEA, MR.DIY, MINISO, Daiso, MUJI, hipermarket</t>
  </si>
  <si>
    <t xml:space="preserve">Lock&amp;Lock, Oxone (A); impor (C)</t>
  </si>
  <si>
    <t xml:space="preserve">MR.DIY, IKEA, hipermarket</t>
  </si>
  <si>
    <t xml:space="preserve">Rendah</t>
  </si>
  <si>
    <t xml:space="preserve">Aksesoris murah (C)</t>
  </si>
  <si>
    <t xml:space="preserve">Chitose, Indachi, Highpoint, Modera, Working by Vivere (dealer)</t>
  </si>
  <si>
    <t xml:space="preserve">Platform B2B</t>
  </si>
  <si>
    <t xml:space="preserve">Department store, MINISO</t>
  </si>
  <si>
    <t xml:space="preserve">Tas impor (C)</t>
  </si>
  <si>
    <t xml:space="preserve">Toys Kingdom: 8 kategori produk</t>
  </si>
  <si>
    <t xml:space="preserve">SKU = jumlah produk di ruparupa.com/toyskingdomonline (Okt 2026). Halaman terlaris tidak tersedia; andalan dari kedalaman SKU &amp; brand favorit di homepage.</t>
  </si>
  <si>
    <t xml:space="preserve">Brand pendorong</t>
  </si>
  <si>
    <t xml:space="preserve">Catatan</t>
  </si>
  <si>
    <t xml:space="preserve">Mainan Koleksi</t>
  </si>
  <si>
    <t xml:space="preserve">Hot Wheels, Tomica, POP MART, Blokees, Yolopark, Beast Kingdom, Pokémon</t>
  </si>
  <si>
    <t xml:space="preserve">Diecast, figur, kartu &amp; puzzle</t>
  </si>
  <si>
    <t xml:space="preserve">Dasar konsep Toys Gen untuk kolektor dewasa</t>
  </si>
  <si>
    <t xml:space="preserve">Mainan (umum)</t>
  </si>
  <si>
    <t xml:space="preserve">Mattel, Hasbro, Marvel, Disney, Barbie, Nerf</t>
  </si>
  <si>
    <t xml:space="preserve">Set mainan, boneka, boneka kain, mainan unik, perlengkapan pesta</t>
  </si>
  <si>
    <t xml:space="preserve">Mainan berlisensi</t>
  </si>
  <si>
    <t xml:space="preserve">Mainan Edukasi</t>
  </si>
  <si>
    <t xml:space="preserve">LEGO, Bricks Kingdom, Play-Doh</t>
  </si>
  <si>
    <t xml:space="preserve">Blocks &amp; bricks, sains &amp; seni</t>
  </si>
  <si>
    <t xml:space="preserve">Didominasi set LEGO bertiket tinggi</t>
  </si>
  <si>
    <t xml:space="preserve">Perlengkapan Sekolah &amp; Gaya Anak</t>
  </si>
  <si>
    <t xml:space="preserve">Brand karakter</t>
  </si>
  <si>
    <t xml:space="preserve">Tidak (musiman)</t>
  </si>
  <si>
    <t xml:space="preserve">Alat tulis, alas kaki, atasan, dompet, perhiasan</t>
  </si>
  <si>
    <t xml:space="preserve">Ramai saat tahun ajaran baru</t>
  </si>
  <si>
    <t xml:space="preserve">Mainan Bayi</t>
  </si>
  <si>
    <t xml:space="preserve">Mainan bayi &amp; balita</t>
  </si>
  <si>
    <t xml:space="preserve">Mainan Outdoor</t>
  </si>
  <si>
    <t xml:space="preserve">Bestway, Globber</t>
  </si>
  <si>
    <t xml:space="preserve">Sepeda anak, kolam, mainan olahraga &amp; pantai, ride on</t>
  </si>
  <si>
    <t xml:space="preserve">Bayi &amp; Ibu</t>
  </si>
  <si>
    <t xml:space="preserve">Perlengkapan mandi, pakaian bayi, tempat tidur bayi, ibu &amp; kehamilan</t>
  </si>
  <si>
    <t xml:space="preserve">Remote Control</t>
  </si>
  <si>
    <t xml:space="preserve">Silverlit</t>
  </si>
  <si>
    <t xml:space="preserve">Mobil &amp; motor, udara, hewan &amp; robot</t>
  </si>
  <si>
    <t xml:space="preserve">Toys Kingdom: pesaing chain store &amp; ancaman online per kategori</t>
  </si>
  <si>
    <t xml:space="preserve">Hanya chain store. Grup MAP mengoperasikan Kidz Station, LEGO Certified Store, Babyz Station.</t>
  </si>
  <si>
    <t xml:space="preserve">POP MART (13 toko), TOP TOY, MINISO &amp; MINISO FRIENDS (300+), Kidz Station (MAP)</t>
  </si>
  <si>
    <t xml:space="preserve">POP MART di LazMall (A); reseller &amp; barang palsu (C); live TikTok</t>
  </si>
  <si>
    <t xml:space="preserve">Mainan Edukasi / LEGO</t>
  </si>
  <si>
    <t xml:space="preserve">LEGO Certified Store (MAP, 26 lokasi di 9 kota), Kidz Station, Gramedia</t>
  </si>
  <si>
    <t xml:space="preserve">LEGO official store (A); bricks tiruan murah (C)</t>
  </si>
  <si>
    <t xml:space="preserve">Mainan (berlisensi umum)</t>
  </si>
  <si>
    <t xml:space="preserve">Kidz Station (MAP), Toys City, Transmart/Hypermart, MR.DIY</t>
  </si>
  <si>
    <t xml:space="preserve">Official store Mattel/Hasbro (A); mainan impor murah (C)</t>
  </si>
  <si>
    <t xml:space="preserve">Gramedia (146 toko), Smiggle (MAP), MINISO</t>
  </si>
  <si>
    <t xml:space="preserve">Gramedia.com, alat tulis murah (C)</t>
  </si>
  <si>
    <t xml:space="preserve">Mainan Bayi / Bayi &amp; Ibu</t>
  </si>
  <si>
    <t xml:space="preserve">Mothercare &amp; ELC (Kanmo, 47 toko 2020), Babyz Station (MAP), Mooimom</t>
  </si>
  <si>
    <t xml:space="preserve">Official store brand bayi (A)</t>
  </si>
  <si>
    <t xml:space="preserve">Decathlon (±18), Kidz Station, hipermarket</t>
  </si>
  <si>
    <t xml:space="preserve">Seller ride-on &amp; sepeda anak (C)</t>
  </si>
  <si>
    <t xml:space="preserve">Kidz Station, toko hobi</t>
  </si>
  <si>
    <t xml:space="preserve">Seller RC impor (C)</t>
  </si>
  <si>
    <t xml:space="preserve">Profil pesaing chain store</t>
  </si>
  <si>
    <t xml:space="preserve">Jumlah toko per tanggal data yang tercantum. Status: Terverifikasi = ada sumber berita/rilis; Perlu verifikasi = data lama atau perkiraan.</t>
  </si>
  <si>
    <t xml:space="preserve">Pesaing</t>
  </si>
  <si>
    <t xml:space="preserve">Jumlah toko / outlet</t>
  </si>
  <si>
    <t xml:space="preserve">Per tanggal</t>
  </si>
  <si>
    <t xml:space="preserve">Bersaing dengan</t>
  </si>
  <si>
    <t xml:space="preserve">Status data</t>
  </si>
  <si>
    <t xml:space="preserve">MR.DIY</t>
  </si>
  <si>
    <t xml:space="preserve">PT Daya Intiguna Yasa Tbk (MDIY)</t>
  </si>
  <si>
    <t xml:space="preserve">1.200+</t>
  </si>
  <si>
    <t xml:space="preserve">Des 2025</t>
  </si>
  <si>
    <t xml:space="preserve">AZKO (8 kategori), INFORMA</t>
  </si>
  <si>
    <t xml:space="preserve">Terverifikasi</t>
  </si>
  <si>
    <t xml:space="preserve">Ace Hardware</t>
  </si>
  <si>
    <t xml:space="preserve">PT Mitra Adiperkasa Tbk (MAPI)</t>
  </si>
  <si>
    <t xml:space="preserve">2 gerai, target 5–7</t>
  </si>
  <si>
    <t xml:space="preserve">Agt 2026</t>
  </si>
  <si>
    <t xml:space="preserve">Mitra10</t>
  </si>
  <si>
    <t xml:space="preserve">PT Catur Sentosa Adiprana Tbk (CSAP)</t>
  </si>
  <si>
    <t xml:space="preserve">57+</t>
  </si>
  <si>
    <t xml:space="preserve">Feb 2025</t>
  </si>
  <si>
    <t xml:space="preserve">Depo Bangunan</t>
  </si>
  <si>
    <t xml:space="preserve">PT Caturkarda Depo Bangunan Tbk (DEPO)</t>
  </si>
  <si>
    <t xml:space="preserve">±16–19</t>
  </si>
  <si>
    <t xml:space="preserve">2024–2025</t>
  </si>
  <si>
    <t xml:space="preserve">IKEA</t>
  </si>
  <si>
    <t xml:space="preserve">DFI Retail Nusantara (HERO)</t>
  </si>
  <si>
    <t xml:space="preserve">5 toko + service point Bali</t>
  </si>
  <si>
    <t xml:space="preserve">2022–2026</t>
  </si>
  <si>
    <t xml:space="preserve">INFORMA (6 kategori), AZKO</t>
  </si>
  <si>
    <t xml:space="preserve">JYSK</t>
  </si>
  <si>
    <t xml:space="preserve">JYSK Indonesia</t>
  </si>
  <si>
    <t xml:space="preserve">±22</t>
  </si>
  <si>
    <t xml:space="preserve">tidak jelas</t>
  </si>
  <si>
    <t xml:space="preserve">Perlu verifikasi</t>
  </si>
  <si>
    <t xml:space="preserve">MINISO</t>
  </si>
  <si>
    <t xml:space="preserve">MINISO Indonesia</t>
  </si>
  <si>
    <t xml:space="preserve">300+</t>
  </si>
  <si>
    <t xml:space="preserve">2024</t>
  </si>
  <si>
    <t xml:space="preserve">AZKO, INFORMA, Toys Kingdom</t>
  </si>
  <si>
    <t xml:space="preserve">Daiso</t>
  </si>
  <si>
    <t xml:space="preserve">Daiso Indonesia</t>
  </si>
  <si>
    <t xml:space="preserve">±11–12</t>
  </si>
  <si>
    <t xml:space="preserve">2026</t>
  </si>
  <si>
    <t xml:space="preserve">AZKO, INFORMA</t>
  </si>
  <si>
    <t xml:space="preserve">Electronic City</t>
  </si>
  <si>
    <t xml:space="preserve">PT Electronic City Indonesia Tbk (ECII)</t>
  </si>
  <si>
    <t xml:space="preserve">62+</t>
  </si>
  <si>
    <t xml:space="preserve">2022 (+ekspansi 2025)</t>
  </si>
  <si>
    <t xml:space="preserve">Erajaya / Eraspace</t>
  </si>
  <si>
    <t xml:space="preserve">PT Erajaya Swasembada Tbk (ERAA)</t>
  </si>
  <si>
    <t xml:space="preserve">1.859 outlet digital</t>
  </si>
  <si>
    <t xml:space="preserve">Q1 2026</t>
  </si>
  <si>
    <t xml:space="preserve">Decathlon</t>
  </si>
  <si>
    <t xml:space="preserve">Decathlon Indonesia</t>
  </si>
  <si>
    <t xml:space="preserve">±18</t>
  </si>
  <si>
    <t xml:space="preserve">Apr 2026</t>
  </si>
  <si>
    <t xml:space="preserve">AZKO, Toys Kingdom</t>
  </si>
  <si>
    <t xml:space="preserve">Eiger</t>
  </si>
  <si>
    <t xml:space="preserve">Eigerindo</t>
  </si>
  <si>
    <t xml:space="preserve">Shop&amp;Drive</t>
  </si>
  <si>
    <t xml:space="preserve">PT Astra Otoparts Tbk (AUTO)</t>
  </si>
  <si>
    <t xml:space="preserve">390+</t>
  </si>
  <si>
    <t xml:space="preserve">2025</t>
  </si>
  <si>
    <t xml:space="preserve">Gramedia</t>
  </si>
  <si>
    <t xml:space="preserve">PT Gramedia Asri Media</t>
  </si>
  <si>
    <t xml:space="preserve">146</t>
  </si>
  <si>
    <t xml:space="preserve">Nov 2025</t>
  </si>
  <si>
    <t xml:space="preserve">Kidz Station</t>
  </si>
  <si>
    <t xml:space="preserve">MAP Aktif (MAPA)</t>
  </si>
  <si>
    <t xml:space="preserve">tidak dipublikasi</t>
  </si>
  <si>
    <t xml:space="preserve">—</t>
  </si>
  <si>
    <t xml:space="preserve">LEGO Certified Store</t>
  </si>
  <si>
    <t xml:space="preserve">MAP (mitra resmi LEGO)</t>
  </si>
  <si>
    <t xml:space="preserve">26 lokasi di 9 kota</t>
  </si>
  <si>
    <t xml:space="preserve">POP MART</t>
  </si>
  <si>
    <t xml:space="preserve">POP MART Indonesia</t>
  </si>
  <si>
    <t xml:space="preserve">13</t>
  </si>
  <si>
    <t xml:space="preserve">Jul 2026</t>
  </si>
  <si>
    <t xml:space="preserve">Mothercare &amp; ELC</t>
  </si>
  <si>
    <t xml:space="preserve">Kanmo Group</t>
  </si>
  <si>
    <t xml:space="preserve">47 di 16 kota</t>
  </si>
  <si>
    <t xml:space="preserve">2020</t>
  </si>
  <si>
    <t xml:space="preserve">SLEEP &amp; Co / DAP</t>
  </si>
  <si>
    <t xml:space="preserve">PT Duta Abadi Primantara</t>
  </si>
  <si>
    <t xml:space="preserve">8 butik King Koil + 4 Serta</t>
  </si>
  <si>
    <t xml:space="preserve">2018</t>
  </si>
  <si>
    <t xml:space="preserve">Vivere</t>
  </si>
  <si>
    <t xml:space="preserve">Vivere Group</t>
  </si>
  <si>
    <t xml:space="preserve">±10</t>
  </si>
  <si>
    <t xml:space="preserve">Status verifikasi kategori andalan</t>
  </si>
  <si>
    <t xml:space="preserve">Kategori andalan awalnya disimpulkan dari kanal milik Kawan Lama (situs resmi &amp; ruparupa). Kolom ini membandingkan dengan data pihak ketiga.</t>
  </si>
  <si>
    <t xml:space="preserve">Klaim andalan</t>
  </si>
  <si>
    <t xml:space="preserve">Bukti internal</t>
  </si>
  <si>
    <t xml:space="preserve">Bukti eksternal</t>
  </si>
  <si>
    <t xml:space="preserve">Status</t>
  </si>
  <si>
    <t xml:space="preserve">Porsi gaya hidup makin besar</t>
  </si>
  <si>
    <t xml:space="preserve">Hobi &amp; Gaya Hidup = SKU terbanyak</t>
  </si>
  <si>
    <t xml:space="preserve">Laporan keuangan ACES: gaya hidup +52,89% YoY (9M 2025)</t>
  </si>
  <si>
    <t xml:space="preserve">Elektronik kecil / pendingin udara</t>
  </si>
  <si>
    <t xml:space="preserve">±36% daftar terlaris</t>
  </si>
  <si>
    <t xml:space="preserve">Pasar air purifier US$148 juta (2024), tumbuh 18,5% per tahun; pangsa AZKO belum diketahui</t>
  </si>
  <si>
    <t xml:space="preserve">Didukung sebagian</t>
  </si>
  <si>
    <t xml:space="preserve">Alat kebersihan</t>
  </si>
  <si>
    <t xml:space="preserve">Proclean di daftar terlaris</t>
  </si>
  <si>
    <t xml:space="preserve">Terlaris Lazada alat pel diisi BOLDe, Dragon, Bonbox</t>
  </si>
  <si>
    <t xml:space="preserve">Berlawanan (online)</t>
  </si>
  <si>
    <t xml:space="preserve">Furnitur besar</t>
  </si>
  <si>
    <t xml:space="preserve">Topaz meja tamu 1rb+ ulasan</t>
  </si>
  <si>
    <t xml:space="preserve">86% konsumen membeli perabot secara offline (survei Ramadan 2025)</t>
  </si>
  <si>
    <t xml:space="preserve">Kasur INFORMA Sleep</t>
  </si>
  <si>
    <t xml:space="preserve">Kasur in a box di daftar terlaris</t>
  </si>
  <si>
    <t xml:space="preserve">Top 5 toko kasur Shopee: InTheBox, Uniland, Zinus, Domi, Quantum</t>
  </si>
  <si>
    <t xml:space="preserve">Mainan koleksi</t>
  </si>
  <si>
    <t xml:space="preserve">SKU terbanyak; Toys Gen</t>
  </si>
  <si>
    <t xml:space="preserve">POP MART 0 ke 13 toko dalam 2 tahun; antrean Labubu; POP MART x LazMall</t>
  </si>
  <si>
    <t xml:space="preserve">Terverifikasi (permintaan)</t>
  </si>
  <si>
    <t xml:space="preserve">LEGO</t>
  </si>
  <si>
    <t xml:space="preserve">Mainan Edukasi didominasi LEGO</t>
  </si>
  <si>
    <t xml:space="preserve">LEGO buka toko terbesar Asia Tenggara di Jakarta (Apr 2026)</t>
  </si>
  <si>
    <t xml:space="preserve">Cara verifikasi lanjutan (murah)</t>
  </si>
  <si>
    <t xml:space="preserve">1. Catat 20 produk 'Terlaris' per kategori di Shopee &amp; Tokopedia; cek apakah merek AZKO/INFORMA muncul</t>
  </si>
  <si>
    <t xml:space="preserve">2. Google Trends 5 tahun untuk kata kunci kategori andalan</t>
  </si>
  <si>
    <t xml:space="preserve">3. Survei Jakpat/Populix ±1.000 responden: 'Di mana terakhir membeli kipas angin / rak / kasur / LEGO?'</t>
  </si>
  <si>
    <t xml:space="preserve">Pangsa GMV e-commerce Indonesia 2025</t>
  </si>
  <si>
    <t xml:space="preserve">Sumber: Momentum Works, E-commerce in Southeast Asia 2026 (via Bisnis.com). Total GMV 2025 = US$57,7 miliar. Pangsa diisi sebagai input (biru); GMV per platform dihitung.</t>
  </si>
  <si>
    <t xml:space="preserve">Platform</t>
  </si>
  <si>
    <t xml:space="preserve">Pangsa 2025</t>
  </si>
  <si>
    <t xml:space="preserve">Estimasi GMV (US$ miliar)</t>
  </si>
  <si>
    <t xml:space="preserve">Shopee</t>
  </si>
  <si>
    <t xml:space="preserve">Naik dari 46% (2024)</t>
  </si>
  <si>
    <t xml:space="preserve">TikTok Shop + Tokopedia</t>
  </si>
  <si>
    <t xml:space="preserve">Live shopping &amp; creator</t>
  </si>
  <si>
    <t xml:space="preserve">Lazada</t>
  </si>
  <si>
    <t xml:space="preserve">LazMall: POP MART resmi</t>
  </si>
  <si>
    <t xml:space="preserve">Blibli</t>
  </si>
  <si>
    <t xml:space="preserve">Pemilik Dekoruma</t>
  </si>
  <si>
    <t xml:space="preserve">Total GMV 2025 (US$ miliar)</t>
  </si>
  <si>
    <t xml:space="preserve">Jumlah pangsa (101% karena pembulatan di sumber)</t>
  </si>
  <si>
    <t xml:space="preserve">Sumber utama</t>
  </si>
  <si>
    <t xml:space="preserve">Daftar lengkap ada di file markdown 01–04 di folder yang sama.</t>
  </si>
  <si>
    <t xml:space="preserve">Topik</t>
  </si>
  <si>
    <t xml:space="preserve">URL</t>
  </si>
  <si>
    <t xml:space="preserve">Kategori &amp; SKU AZKO</t>
  </si>
  <si>
    <t xml:space="preserve">azko.id, ruparupa.com/azko</t>
  </si>
  <si>
    <t xml:space="preserve">https://www.ruparupa.com/azko</t>
  </si>
  <si>
    <t xml:space="preserve">Kategori &amp; SKU INFORMA</t>
  </si>
  <si>
    <t xml:space="preserve">informa.co.id, ruparupa.com/informastore</t>
  </si>
  <si>
    <t xml:space="preserve">https://www.ruparupa.com/informastore</t>
  </si>
  <si>
    <t xml:space="preserve">Kategori &amp; SKU Toys Kingdom</t>
  </si>
  <si>
    <t xml:space="preserve">toyskingdom.co.id, ruparupa.com/toyskingdomonline</t>
  </si>
  <si>
    <t xml:space="preserve">https://www.ruparupa.com/toyskingdomonline</t>
  </si>
  <si>
    <t xml:space="preserve">Segmen ACES 2024</t>
  </si>
  <si>
    <t xml:space="preserve">Bisnis.com</t>
  </si>
  <si>
    <t xml:space="preserve">https://market.bisnis.com/read/20250403/192/1866382/emiten-ritel-aces-buka-4-gerai-baru-azko-pada-kuartal-i2025</t>
  </si>
  <si>
    <t xml:space="preserve">Gaya hidup +52,89%</t>
  </si>
  <si>
    <t xml:space="preserve">Bloomberg Technoz</t>
  </si>
  <si>
    <t xml:space="preserve">https://www.bloombergtechnoz.com/detail-news/75309/cerai-dengan-ace-hardware-indikator-kinerja-azko-aces-memburuk/2</t>
  </si>
  <si>
    <t xml:space="preserve">AZKO 276 toko</t>
  </si>
  <si>
    <t xml:space="preserve">Landbank</t>
  </si>
  <si>
    <t xml:space="preserve">https://landbank.co.id/komersial/read/6043/aces-raih-penjualan-rp45-triliun-punya-276-azko</t>
  </si>
  <si>
    <t xml:space="preserve">Ace Hardware MAP</t>
  </si>
  <si>
    <t xml:space="preserve">Katadata</t>
  </si>
  <si>
    <t xml:space="preserve">https://katadata.co.id/finansial/bursa/6a705d0f7c793/ace-hardware-hadir-lagi-di-indonesia-mapi-bidik-hingga-7-gerai-baru</t>
  </si>
  <si>
    <t xml:space="preserve">MR.DIY 1.200 toko</t>
  </si>
  <si>
    <t xml:space="preserve">https://market.bisnis.com/read/20251216/192/1937381/intip-prospek-mr-diy-mdiy-yang-baru-resmikan-toko-ke-1200</t>
  </si>
  <si>
    <t xml:space="preserve">INFORMA 125+ toko</t>
  </si>
  <si>
    <t xml:space="preserve">Kawan Lama Group</t>
  </si>
  <si>
    <t xml:space="preserve">https://www.kawanlamagroup.com/en/article/informa-buka-toko-pertama-di-tarakan-hadir-lebih-dekat-dan-ciptakan-ruang-prestasi</t>
  </si>
  <si>
    <t xml:space="preserve">Toys Kingdom toko ke-77</t>
  </si>
  <si>
    <t xml:space="preserve">https://www.kawanlamagroup.com/storage/1773/Siaran-Pers---Liburan-Sekolah-Makin-Berwarna%21-Toys-Kingdom-Hadir-Lebih-Dekat-dengan-Keluarga-Batam-melalui-Toko-Terbaru-di-K-Square-Mall.pdf</t>
  </si>
  <si>
    <t xml:space="preserve">Kontan</t>
  </si>
  <si>
    <t xml:space="preserve">https://industri.kontan.co.id/news/lego-buka-store-terbesar-di-asia-tenggara-kemendag-dorong-indonesia-jadi-produsen</t>
  </si>
  <si>
    <t xml:space="preserve">POP MART 13 toko</t>
  </si>
  <si>
    <t xml:space="preserve">https://industri.kontan.co.id/news/pop-mart-buka-gerai-ke-13-di-semarang-ini-alasan-pilih-kota-ini</t>
  </si>
  <si>
    <t xml:space="preserve">Pangsa e-commerce 2025</t>
  </si>
  <si>
    <t xml:space="preserve">Bisnis.com (Momentum Works)</t>
  </si>
  <si>
    <t xml:space="preserve">https://teknologi.bisnis.com/read/20260508/266/1972413/shopee-kuasai-54-pasar-e-commerce-indonesia-transaksi-tembus-rp539-triliun</t>
  </si>
  <si>
    <t xml:space="preserve">Kasur di Shopee</t>
  </si>
  <si>
    <t xml:space="preserve">Universitas Pasundan (2025)</t>
  </si>
  <si>
    <t xml:space="preserve">https://repository.unpas.ac.id/82864/3/bab%20i.pdf</t>
  </si>
  <si>
    <t xml:space="preserve">Perabot dibeli offline 86%</t>
  </si>
  <si>
    <t xml:space="preserve">GoodStats</t>
  </si>
  <si>
    <t xml:space="preserve">https://data.goodstats.id/statistic/belanja-online-vs-offline-mana-yang-digemari-pada-ramadan-2025-ARqNq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</si>
</sst>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%"/>
    <numFmt numFmtId="168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4213D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B4501F"/>
      <name val="Arial"/>
      <family val="0"/>
      <charset val="1"/>
    </font>
    <font>
      <sz val="10"/>
      <color rgb="FF14213D"/>
      <name val="Arial"/>
      <family val="0"/>
      <charset val="1"/>
    </font>
    <font>
      <b val="true"/>
      <sz val="10"/>
      <color rgb="FF2F5D8A"/>
      <name val="Arial"/>
      <family val="0"/>
      <charset val="1"/>
    </font>
    <font>
      <b val="true"/>
      <sz val="10"/>
      <color rgb="FF7A3E8F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0"/>
      <color rgb="FF2F5D8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CC4"/>
      </left>
      <right style="thin">
        <color rgb="FFD0CCC4"/>
      </right>
      <top style="thin">
        <color rgb="FFD0CCC4"/>
      </top>
      <bottom style="thin">
        <color rgb="FFD0CC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4213D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4D6"/>
        </patternFill>
      </fill>
    </dxf>
    <dxf>
      <fill>
        <patternFill patternType="solid">
          <fgColor rgb="FFF9D7B5"/>
          <bgColor rgb="FF000000"/>
        </patternFill>
      </fill>
    </dxf>
    <dxf>
      <fill>
        <patternFill patternType="solid">
          <fgColor rgb="FFFCEFC2"/>
          <bgColor rgb="FF000000"/>
        </patternFill>
      </fill>
    </dxf>
    <dxf>
      <fill>
        <patternFill patternType="solid">
          <fgColor rgb="FFF4B6A6"/>
          <bgColor rgb="FF000000"/>
        </patternFill>
      </fill>
    </dxf>
    <dxf>
      <fill>
        <patternFill>
          <bgColor rgb="FFF4B6A6"/>
        </patternFill>
      </fill>
    </dxf>
    <dxf>
      <fill>
        <patternFill>
          <bgColor rgb="FFF9D7B5"/>
        </patternFill>
      </fill>
    </dxf>
    <dxf>
      <fill>
        <patternFill>
          <bgColor rgb="FFFCEFC2"/>
        </patternFill>
      </fill>
    </dxf>
    <dxf>
      <fill>
        <patternFill>
          <bgColor rgb="FFD5ECD4"/>
        </patternFill>
      </fill>
    </dxf>
    <dxf>
      <fill>
        <patternFill patternType="solid">
          <fgColor rgb="FFD5ECD4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CC4"/>
      <rgbColor rgb="FF808080"/>
      <rgbColor rgb="FF9999FF"/>
      <rgbColor rgb="FF7A3E8F"/>
      <rgbColor rgb="FFFFF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CD4"/>
      <rgbColor rgb="FFFCEFC2"/>
      <rgbColor rgb="FF99CCFF"/>
      <rgbColor rgb="FFF4B6A6"/>
      <rgbColor rgb="FFCC99FF"/>
      <rgbColor rgb="FFF9D7B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4A5568"/>
      <rgbColor rgb="FFB4501F"/>
      <rgbColor rgb="FF993366"/>
      <rgbColor rgb="FF2F5D8A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Riset_Pesaing_Kawan_Lama.xlsx" TargetMode="External"/><Relationship Id="rId2" Type="http://schemas.openxmlformats.org/officeDocument/2006/relationships/hyperlink" Target="Riset_Pesaing_Kawan_Lama.xlsx" TargetMode="External"/><Relationship Id="rId3" Type="http://schemas.openxmlformats.org/officeDocument/2006/relationships/hyperlink" Target="Riset_Pesaing_Kawan_Lama.xlsx" TargetMode="External"/><Relationship Id="rId4" Type="http://schemas.openxmlformats.org/officeDocument/2006/relationships/hyperlink" Target="Riset_Pesaing_Kawan_Lama.xlsx" TargetMode="External"/><Relationship Id="rId5" Type="http://schemas.openxmlformats.org/officeDocument/2006/relationships/hyperlink" Target="Riset_Pesaing_Kawan_Lama.xlsx" TargetMode="External"/><Relationship Id="rId6" Type="http://schemas.openxmlformats.org/officeDocument/2006/relationships/hyperlink" Target="Riset_Pesaing_Kawan_Lama.xlsx" TargetMode="External"/><Relationship Id="rId7" Type="http://schemas.openxmlformats.org/officeDocument/2006/relationships/hyperlink" Target="Riset_Pesaing_Kawan_Lama.xlsx" TargetMode="External"/><Relationship Id="rId8" Type="http://schemas.openxmlformats.org/officeDocument/2006/relationships/hyperlink" Target="Riset_Pesaing_Kawan_Lama.xlsx" TargetMode="External"/><Relationship Id="rId9" Type="http://schemas.openxmlformats.org/officeDocument/2006/relationships/hyperlink" Target="Riset_Pesaing_Kawan_Lama.xlsx" TargetMode="External"/><Relationship Id="rId10" Type="http://schemas.openxmlformats.org/officeDocument/2006/relationships/hyperlink" Target="Riset_Pesaing_Kawan_Lam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45"/>
    <col collapsed="false" customWidth="true" hidden="false" outlineLevel="0" max="6" min="6" style="0" width="38"/>
    <col collapsed="false" customWidth="true" hidden="false" outlineLevel="0" max="8" min="7" style="0" width="4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5" t="s">
        <v>11</v>
      </c>
      <c r="C5" s="5" t="s">
        <v>12</v>
      </c>
      <c r="D5" s="5" t="n">
        <v>10</v>
      </c>
      <c r="E5" s="5" t="s">
        <v>13</v>
      </c>
      <c r="F5" s="5" t="s">
        <v>14</v>
      </c>
      <c r="G5" s="5" t="s">
        <v>15</v>
      </c>
      <c r="H5" s="5" t="s">
        <v>16</v>
      </c>
    </row>
    <row r="6" customFormat="false" ht="23.85" hidden="false" customHeight="false" outlineLevel="0" collapsed="false">
      <c r="A6" s="6" t="s">
        <v>17</v>
      </c>
      <c r="B6" s="5" t="s">
        <v>18</v>
      </c>
      <c r="C6" s="5" t="s">
        <v>19</v>
      </c>
      <c r="D6" s="5" t="n">
        <v>9</v>
      </c>
      <c r="E6" s="5" t="s">
        <v>20</v>
      </c>
      <c r="F6" s="5" t="s">
        <v>21</v>
      </c>
      <c r="G6" s="5" t="s">
        <v>22</v>
      </c>
      <c r="H6" s="5" t="s">
        <v>23</v>
      </c>
    </row>
    <row r="7" customFormat="false" ht="23.85" hidden="false" customHeight="false" outlineLevel="0" collapsed="false">
      <c r="A7" s="7" t="s">
        <v>24</v>
      </c>
      <c r="B7" s="5" t="s">
        <v>25</v>
      </c>
      <c r="C7" s="5" t="s">
        <v>26</v>
      </c>
      <c r="D7" s="5" t="n">
        <v>8</v>
      </c>
      <c r="E7" s="5" t="s">
        <v>27</v>
      </c>
      <c r="F7" s="5" t="s">
        <v>28</v>
      </c>
      <c r="G7" s="5" t="s">
        <v>29</v>
      </c>
      <c r="H7" s="5" t="s">
        <v>30</v>
      </c>
    </row>
    <row r="10" customFormat="false" ht="15" hidden="false" customHeight="false" outlineLevel="0" collapsed="false">
      <c r="A10" s="8" t="s">
        <v>31</v>
      </c>
    </row>
    <row r="11" customFormat="false" ht="15" hidden="false" customHeight="false" outlineLevel="0" collapsed="false">
      <c r="A11" s="9" t="s">
        <v>32</v>
      </c>
    </row>
    <row r="12" customFormat="false" ht="15" hidden="false" customHeight="false" outlineLevel="0" collapsed="false">
      <c r="A12" s="9" t="s">
        <v>33</v>
      </c>
    </row>
    <row r="13" customFormat="false" ht="15" hidden="false" customHeight="false" outlineLevel="0" collapsed="false">
      <c r="A13" s="9" t="s">
        <v>34</v>
      </c>
    </row>
    <row r="14" customFormat="false" ht="15" hidden="false" customHeight="false" outlineLevel="0" collapsed="false">
      <c r="A14" s="9" t="s">
        <v>35</v>
      </c>
    </row>
    <row r="15" customFormat="false" ht="15" hidden="false" customHeight="false" outlineLevel="0" collapsed="false">
      <c r="A15" s="9" t="s">
        <v>36</v>
      </c>
    </row>
    <row r="16" customFormat="false" ht="15" hidden="false" customHeight="false" outlineLevel="0" collapsed="false">
      <c r="A16" s="9" t="s">
        <v>37</v>
      </c>
    </row>
    <row r="17" customFormat="false" ht="15" hidden="false" customHeight="false" outlineLevel="0" collapsed="false">
      <c r="A17" s="9" t="s">
        <v>38</v>
      </c>
    </row>
    <row r="18" customFormat="false" ht="15" hidden="false" customHeight="false" outlineLevel="0" collapsed="false">
      <c r="A18" s="9" t="s">
        <v>39</v>
      </c>
    </row>
    <row r="19" customFormat="false" ht="15" hidden="false" customHeight="false" outlineLevel="0" collapsed="false">
      <c r="A19" s="9" t="s">
        <v>40</v>
      </c>
    </row>
    <row r="20" customFormat="false" ht="15" hidden="false" customHeight="false" outlineLevel="0" collapsed="false">
      <c r="A20" s="9" t="s">
        <v>41</v>
      </c>
    </row>
  </sheetData>
  <hyperlinks>
    <hyperlink ref="A11" r:id="rId1" location="'AZKO_Kategori'!A1" display="AZKO_Kategori"/>
    <hyperlink ref="A12" r:id="rId2" location="'AZKO_Pesaing'!A1" display="AZKO_Pesaing"/>
    <hyperlink ref="A13" r:id="rId3" location="'INFORMA_Kategori'!A1" display="INFORMA_Kategori"/>
    <hyperlink ref="A14" r:id="rId4" location="'INFORMA_Pesaing'!A1" display="INFORMA_Pesaing"/>
    <hyperlink ref="A15" r:id="rId5" location="'TK_Kategori'!A1" display="TK_Kategori"/>
    <hyperlink ref="A16" r:id="rId6" location="'TK_Pesaing'!A1" display="TK_Pesaing"/>
    <hyperlink ref="A17" r:id="rId7" location="'Profil_Pesaing'!A1" display="Profil_Pesaing"/>
    <hyperlink ref="A18" r:id="rId8" location="'Verifikasi'!A1" display="Verifikasi"/>
    <hyperlink ref="A19" r:id="rId9" location="'Pasar_Online'!A1" display="Pasar_Online"/>
    <hyperlink ref="A20" r:id="rId10" location="'Sumber'!A1" display="Sumb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01F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55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30" hidden="false" customHeight="true" outlineLevel="0" collapsed="false">
      <c r="A4" s="3" t="s">
        <v>44</v>
      </c>
      <c r="B4" s="3" t="s">
        <v>45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</row>
    <row r="5" customFormat="false" ht="23.85" hidden="false" customHeight="false" outlineLevel="0" collapsed="false">
      <c r="A5" s="10" t="s">
        <v>51</v>
      </c>
      <c r="B5" s="10" t="s">
        <v>52</v>
      </c>
      <c r="C5" s="11" t="n">
        <v>4416</v>
      </c>
      <c r="D5" s="12" t="n">
        <f aca="false">C5/C$15</f>
        <v>0.145015105740181</v>
      </c>
      <c r="E5" s="10" t="s">
        <v>53</v>
      </c>
      <c r="F5" s="10" t="s">
        <v>54</v>
      </c>
      <c r="G5" s="10" t="s">
        <v>55</v>
      </c>
    </row>
    <row r="6" customFormat="false" ht="23.85" hidden="false" customHeight="false" outlineLevel="0" collapsed="false">
      <c r="A6" s="10" t="s">
        <v>51</v>
      </c>
      <c r="B6" s="10" t="s">
        <v>56</v>
      </c>
      <c r="C6" s="11" t="n">
        <v>1844</v>
      </c>
      <c r="D6" s="12" t="n">
        <f aca="false">C6/C$15</f>
        <v>0.0605543149875214</v>
      </c>
      <c r="E6" s="10" t="s">
        <v>57</v>
      </c>
      <c r="F6" s="10" t="s">
        <v>58</v>
      </c>
      <c r="G6" s="10" t="s">
        <v>59</v>
      </c>
    </row>
    <row r="7" customFormat="false" ht="23.85" hidden="false" customHeight="false" outlineLevel="0" collapsed="false">
      <c r="A7" s="10" t="s">
        <v>51</v>
      </c>
      <c r="B7" s="10" t="s">
        <v>60</v>
      </c>
      <c r="C7" s="11" t="n">
        <v>1409</v>
      </c>
      <c r="D7" s="12" t="n">
        <f aca="false">C7/C$15</f>
        <v>0.0462695389465388</v>
      </c>
      <c r="E7" s="10" t="s">
        <v>61</v>
      </c>
      <c r="F7" s="10" t="s">
        <v>62</v>
      </c>
      <c r="G7" s="10" t="s">
        <v>63</v>
      </c>
    </row>
    <row r="8" customFormat="false" ht="15" hidden="false" customHeight="false" outlineLevel="0" collapsed="false">
      <c r="A8" s="10" t="s">
        <v>51</v>
      </c>
      <c r="B8" s="10" t="s">
        <v>64</v>
      </c>
      <c r="C8" s="11" t="n">
        <v>1328</v>
      </c>
      <c r="D8" s="12" t="n">
        <f aca="false">C8/C$15</f>
        <v>0.043609615132011</v>
      </c>
      <c r="E8" s="10" t="s">
        <v>65</v>
      </c>
      <c r="F8" s="10" t="s">
        <v>66</v>
      </c>
      <c r="G8" s="10" t="s">
        <v>67</v>
      </c>
    </row>
    <row r="9" customFormat="false" ht="23.85" hidden="false" customHeight="false" outlineLevel="0" collapsed="false">
      <c r="A9" s="10" t="s">
        <v>68</v>
      </c>
      <c r="B9" s="10" t="s">
        <v>69</v>
      </c>
      <c r="C9" s="11" t="n">
        <v>7665</v>
      </c>
      <c r="D9" s="12" t="n">
        <f aca="false">C9/C$15</f>
        <v>0.251707605411796</v>
      </c>
      <c r="E9" s="10" t="s">
        <v>70</v>
      </c>
      <c r="F9" s="10" t="s">
        <v>71</v>
      </c>
      <c r="G9" s="10" t="s">
        <v>72</v>
      </c>
    </row>
    <row r="10" customFormat="false" ht="23.85" hidden="false" customHeight="false" outlineLevel="0" collapsed="false">
      <c r="A10" s="10" t="s">
        <v>68</v>
      </c>
      <c r="B10" s="10" t="s">
        <v>73</v>
      </c>
      <c r="C10" s="11" t="n">
        <v>5396</v>
      </c>
      <c r="D10" s="12" t="n">
        <f aca="false">C10/C$15</f>
        <v>0.177196900039406</v>
      </c>
      <c r="E10" s="10" t="s">
        <v>74</v>
      </c>
      <c r="F10" s="10" t="s">
        <v>75</v>
      </c>
      <c r="G10" s="10" t="s">
        <v>76</v>
      </c>
    </row>
    <row r="11" customFormat="false" ht="23.85" hidden="false" customHeight="false" outlineLevel="0" collapsed="false">
      <c r="A11" s="10" t="s">
        <v>68</v>
      </c>
      <c r="B11" s="10" t="s">
        <v>77</v>
      </c>
      <c r="C11" s="11" t="n">
        <v>4265</v>
      </c>
      <c r="D11" s="12" t="n">
        <f aca="false">C11/C$15</f>
        <v>0.140056482332852</v>
      </c>
      <c r="E11" s="10" t="s">
        <v>57</v>
      </c>
      <c r="F11" s="10" t="s">
        <v>78</v>
      </c>
      <c r="G11" s="10" t="s">
        <v>79</v>
      </c>
    </row>
    <row r="12" customFormat="false" ht="23.85" hidden="false" customHeight="false" outlineLevel="0" collapsed="false">
      <c r="A12" s="10" t="s">
        <v>68</v>
      </c>
      <c r="B12" s="10" t="s">
        <v>80</v>
      </c>
      <c r="C12" s="11" t="n">
        <v>1639</v>
      </c>
      <c r="D12" s="12" t="n">
        <f aca="false">C12/C$15</f>
        <v>0.0538224090371733</v>
      </c>
      <c r="E12" s="10" t="s">
        <v>57</v>
      </c>
      <c r="F12" s="10" t="s">
        <v>81</v>
      </c>
      <c r="G12" s="10" t="s">
        <v>82</v>
      </c>
    </row>
    <row r="13" customFormat="false" ht="15" hidden="false" customHeight="false" outlineLevel="0" collapsed="false">
      <c r="A13" s="10" t="s">
        <v>68</v>
      </c>
      <c r="B13" s="10" t="s">
        <v>83</v>
      </c>
      <c r="C13" s="11" t="n">
        <v>1467</v>
      </c>
      <c r="D13" s="12" t="n">
        <f aca="false">C13/C$15</f>
        <v>0.0481741757520032</v>
      </c>
      <c r="E13" s="10" t="s">
        <v>65</v>
      </c>
      <c r="F13" s="10" t="s">
        <v>84</v>
      </c>
      <c r="G13" s="10" t="s">
        <v>85</v>
      </c>
    </row>
    <row r="14" customFormat="false" ht="15" hidden="false" customHeight="false" outlineLevel="0" collapsed="false">
      <c r="A14" s="10" t="s">
        <v>68</v>
      </c>
      <c r="B14" s="10" t="s">
        <v>86</v>
      </c>
      <c r="C14" s="11" t="n">
        <v>1023</v>
      </c>
      <c r="D14" s="12" t="n">
        <f aca="false">C14/C$15</f>
        <v>0.0335938526205175</v>
      </c>
      <c r="E14" s="10" t="s">
        <v>57</v>
      </c>
      <c r="F14" s="10" t="s">
        <v>87</v>
      </c>
      <c r="G14" s="10" t="s">
        <v>88</v>
      </c>
    </row>
    <row r="15" customFormat="false" ht="15" hidden="false" customHeight="false" outlineLevel="0" collapsed="false">
      <c r="A15" s="13" t="s">
        <v>89</v>
      </c>
      <c r="C15" s="14" t="n">
        <f aca="false">SUM(C5:C14)</f>
        <v>30452</v>
      </c>
    </row>
  </sheetData>
  <autoFilter ref="A4:G14"/>
  <conditionalFormatting sqref="A5:G14">
    <cfRule type="expression" priority="2" aboveAverage="0" equalAverage="0" bottom="0" percent="0" rank="0" text="" dxfId="4">
      <formula>LEFT($E5,2)="Ya"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01F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55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30" hidden="false" customHeight="true" outlineLevel="0" collapsed="false">
      <c r="A4" s="3" t="s">
        <v>45</v>
      </c>
      <c r="B4" s="3" t="s">
        <v>48</v>
      </c>
      <c r="C4" s="3" t="s">
        <v>92</v>
      </c>
      <c r="D4" s="3" t="s">
        <v>93</v>
      </c>
      <c r="E4" s="3" t="s">
        <v>94</v>
      </c>
      <c r="F4" s="3" t="s">
        <v>95</v>
      </c>
    </row>
    <row r="5" customFormat="false" ht="23.85" hidden="false" customHeight="false" outlineLevel="0" collapsed="false">
      <c r="A5" s="10" t="s">
        <v>60</v>
      </c>
      <c r="B5" s="10" t="s">
        <v>65</v>
      </c>
      <c r="C5" s="10" t="s">
        <v>96</v>
      </c>
      <c r="D5" s="10" t="s">
        <v>97</v>
      </c>
      <c r="E5" s="10" t="s">
        <v>98</v>
      </c>
      <c r="F5" s="10" t="s">
        <v>99</v>
      </c>
    </row>
    <row r="6" customFormat="false" ht="23.85" hidden="false" customHeight="false" outlineLevel="0" collapsed="false">
      <c r="A6" s="10" t="s">
        <v>100</v>
      </c>
      <c r="B6" s="10" t="s">
        <v>65</v>
      </c>
      <c r="C6" s="10" t="s">
        <v>101</v>
      </c>
      <c r="D6" s="10" t="s">
        <v>97</v>
      </c>
      <c r="E6" s="10" t="s">
        <v>102</v>
      </c>
      <c r="F6" s="10" t="s">
        <v>97</v>
      </c>
    </row>
    <row r="7" customFormat="false" ht="23.85" hidden="false" customHeight="false" outlineLevel="0" collapsed="false">
      <c r="A7" s="10" t="s">
        <v>83</v>
      </c>
      <c r="B7" s="10" t="s">
        <v>65</v>
      </c>
      <c r="C7" s="10" t="s">
        <v>103</v>
      </c>
      <c r="D7" s="10" t="s">
        <v>104</v>
      </c>
      <c r="E7" s="10" t="s">
        <v>105</v>
      </c>
      <c r="F7" s="10" t="s">
        <v>99</v>
      </c>
    </row>
    <row r="8" customFormat="false" ht="15" hidden="false" customHeight="false" outlineLevel="0" collapsed="false">
      <c r="A8" s="10" t="s">
        <v>64</v>
      </c>
      <c r="B8" s="10" t="s">
        <v>65</v>
      </c>
      <c r="C8" s="10" t="s">
        <v>106</v>
      </c>
      <c r="D8" s="10" t="s">
        <v>104</v>
      </c>
      <c r="E8" s="10" t="s">
        <v>107</v>
      </c>
      <c r="F8" s="10" t="s">
        <v>99</v>
      </c>
    </row>
    <row r="9" customFormat="false" ht="23.85" hidden="false" customHeight="false" outlineLevel="0" collapsed="false">
      <c r="A9" s="10" t="s">
        <v>52</v>
      </c>
      <c r="B9" s="10" t="s">
        <v>65</v>
      </c>
      <c r="C9" s="10" t="s">
        <v>108</v>
      </c>
      <c r="D9" s="10" t="s">
        <v>97</v>
      </c>
      <c r="E9" s="10" t="s">
        <v>109</v>
      </c>
      <c r="F9" s="10" t="s">
        <v>104</v>
      </c>
    </row>
    <row r="10" customFormat="false" ht="15" hidden="false" customHeight="false" outlineLevel="0" collapsed="false">
      <c r="A10" s="10" t="s">
        <v>56</v>
      </c>
      <c r="B10" s="10" t="s">
        <v>57</v>
      </c>
      <c r="C10" s="10" t="s">
        <v>110</v>
      </c>
      <c r="D10" s="10" t="s">
        <v>104</v>
      </c>
      <c r="E10" s="10" t="s">
        <v>111</v>
      </c>
      <c r="F10" s="10" t="s">
        <v>104</v>
      </c>
    </row>
    <row r="11" customFormat="false" ht="23.85" hidden="false" customHeight="false" outlineLevel="0" collapsed="false">
      <c r="A11" s="10" t="s">
        <v>77</v>
      </c>
      <c r="B11" s="10" t="s">
        <v>57</v>
      </c>
      <c r="C11" s="10" t="s">
        <v>112</v>
      </c>
      <c r="D11" s="10" t="s">
        <v>97</v>
      </c>
      <c r="E11" s="10" t="s">
        <v>113</v>
      </c>
      <c r="F11" s="10" t="s">
        <v>97</v>
      </c>
    </row>
    <row r="12" customFormat="false" ht="23.85" hidden="false" customHeight="false" outlineLevel="0" collapsed="false">
      <c r="A12" s="10" t="s">
        <v>69</v>
      </c>
      <c r="B12" s="10" t="s">
        <v>57</v>
      </c>
      <c r="C12" s="10" t="s">
        <v>114</v>
      </c>
      <c r="D12" s="10" t="s">
        <v>104</v>
      </c>
      <c r="E12" s="10" t="s">
        <v>115</v>
      </c>
      <c r="F12" s="10" t="s">
        <v>99</v>
      </c>
    </row>
    <row r="13" customFormat="false" ht="23.85" hidden="false" customHeight="false" outlineLevel="0" collapsed="false">
      <c r="A13" s="10" t="s">
        <v>86</v>
      </c>
      <c r="B13" s="10" t="s">
        <v>57</v>
      </c>
      <c r="C13" s="10" t="s">
        <v>116</v>
      </c>
      <c r="D13" s="10" t="s">
        <v>97</v>
      </c>
      <c r="E13" s="10" t="s">
        <v>117</v>
      </c>
      <c r="F13" s="10" t="s">
        <v>97</v>
      </c>
    </row>
    <row r="14" customFormat="false" ht="15" hidden="false" customHeight="false" outlineLevel="0" collapsed="false">
      <c r="A14" s="10" t="s">
        <v>80</v>
      </c>
      <c r="B14" s="10" t="s">
        <v>57</v>
      </c>
      <c r="C14" s="10" t="s">
        <v>118</v>
      </c>
      <c r="D14" s="10" t="s">
        <v>104</v>
      </c>
      <c r="E14" s="10" t="s">
        <v>119</v>
      </c>
      <c r="F14" s="10" t="s">
        <v>104</v>
      </c>
    </row>
  </sheetData>
  <autoFilter ref="A4:F14"/>
  <conditionalFormatting sqref="D5:D14">
    <cfRule type="expression" priority="2" aboveAverage="0" equalAverage="0" bottom="0" percent="0" rank="0" text="" dxfId="8">
      <formula>LEFT(D5,13)="Sangat tinggi"</formula>
    </cfRule>
    <cfRule type="expression" priority="3" aboveAverage="0" equalAverage="0" bottom="0" percent="0" rank="0" text="" dxfId="9">
      <formula>LEFT(D5,6)="Tinggi"</formula>
    </cfRule>
    <cfRule type="expression" priority="4" aboveAverage="0" equalAverage="0" bottom="0" percent="0" rank="0" text="" dxfId="10">
      <formula>LEFT(D5,6)="Sedang"</formula>
    </cfRule>
    <cfRule type="expression" priority="5" aboveAverage="0" equalAverage="0" bottom="0" percent="0" rank="0" text="" dxfId="11">
      <formula>LEFT(D5,6)="Rendah"</formula>
    </cfRule>
  </conditionalFormatting>
  <conditionalFormatting sqref="F5:F14">
    <cfRule type="expression" priority="6" aboveAverage="0" equalAverage="0" bottom="0" percent="0" rank="0" text="" dxfId="8">
      <formula>LEFT(F5,13)="Sangat tinggi"</formula>
    </cfRule>
    <cfRule type="expression" priority="7" aboveAverage="0" equalAverage="0" bottom="0" percent="0" rank="0" text="" dxfId="9">
      <formula>LEFT(F5,6)="Tinggi"</formula>
    </cfRule>
    <cfRule type="expression" priority="8" aboveAverage="0" equalAverage="0" bottom="0" percent="0" rank="0" text="" dxfId="10">
      <formula>LEFT(F5,6)="Sedang"</formula>
    </cfRule>
    <cfRule type="expression" priority="9" aboveAverage="0" equalAverage="0" bottom="0" percent="0" rank="0" text="" dxfId="11">
      <formula>LEFT(F5,6)="Rendah"</formula>
    </cfRule>
  </conditionalFormatting>
  <conditionalFormatting sqref="A5:C14">
    <cfRule type="expression" priority="10" aboveAverage="0" equalAverage="0" bottom="0" percent="0" rank="0" text="" dxfId="4">
      <formula>LEFT($B5,2)="Ya"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8A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7" min="6" style="0" width="55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2" t="s">
        <v>121</v>
      </c>
    </row>
    <row r="4" customFormat="false" ht="30" hidden="false" customHeight="true" outlineLevel="0" collapsed="false">
      <c r="A4" s="3" t="s">
        <v>45</v>
      </c>
      <c r="B4" s="3" t="s">
        <v>122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50</v>
      </c>
    </row>
    <row r="5" customFormat="false" ht="15" hidden="false" customHeight="false" outlineLevel="0" collapsed="false">
      <c r="A5" s="10" t="s">
        <v>123</v>
      </c>
      <c r="B5" s="10"/>
      <c r="C5" s="11" t="n">
        <v>2823</v>
      </c>
      <c r="D5" s="12" t="n">
        <f aca="false">C5/C$14</f>
        <v>0.220702056133219</v>
      </c>
      <c r="E5" s="10" t="s">
        <v>70</v>
      </c>
      <c r="F5" s="10" t="s">
        <v>124</v>
      </c>
      <c r="G5" s="10" t="s">
        <v>125</v>
      </c>
    </row>
    <row r="6" customFormat="false" ht="23.85" hidden="false" customHeight="false" outlineLevel="0" collapsed="false">
      <c r="A6" s="10" t="s">
        <v>126</v>
      </c>
      <c r="B6" s="10" t="s">
        <v>127</v>
      </c>
      <c r="C6" s="11" t="n">
        <v>2584</v>
      </c>
      <c r="D6" s="12" t="n">
        <f aca="false">C6/C$14</f>
        <v>0.202017043233524</v>
      </c>
      <c r="E6" s="10" t="s">
        <v>61</v>
      </c>
      <c r="F6" s="10" t="s">
        <v>128</v>
      </c>
      <c r="G6" s="10" t="s">
        <v>129</v>
      </c>
    </row>
    <row r="7" customFormat="false" ht="23.85" hidden="false" customHeight="false" outlineLevel="0" collapsed="false">
      <c r="A7" s="10" t="s">
        <v>130</v>
      </c>
      <c r="B7" s="10" t="s">
        <v>131</v>
      </c>
      <c r="C7" s="11" t="n">
        <v>2049</v>
      </c>
      <c r="D7" s="12" t="n">
        <f aca="false">C7/C$14</f>
        <v>0.160190759127512</v>
      </c>
      <c r="E7" s="10" t="s">
        <v>65</v>
      </c>
      <c r="F7" s="10" t="s">
        <v>132</v>
      </c>
      <c r="G7" s="10" t="s">
        <v>133</v>
      </c>
    </row>
    <row r="8" customFormat="false" ht="15" hidden="false" customHeight="false" outlineLevel="0" collapsed="false">
      <c r="A8" s="10" t="s">
        <v>134</v>
      </c>
      <c r="B8" s="10"/>
      <c r="C8" s="11" t="n">
        <v>1466</v>
      </c>
      <c r="D8" s="12" t="n">
        <f aca="false">C8/C$14</f>
        <v>0.114611836447502</v>
      </c>
      <c r="E8" s="10" t="s">
        <v>57</v>
      </c>
      <c r="F8" s="10" t="s">
        <v>135</v>
      </c>
      <c r="G8" s="10" t="s">
        <v>136</v>
      </c>
    </row>
    <row r="9" customFormat="false" ht="15" hidden="false" customHeight="false" outlineLevel="0" collapsed="false">
      <c r="A9" s="10" t="s">
        <v>137</v>
      </c>
      <c r="B9" s="10" t="s">
        <v>138</v>
      </c>
      <c r="C9" s="11" t="n">
        <v>1389</v>
      </c>
      <c r="D9" s="12" t="n">
        <f aca="false">C9/C$14</f>
        <v>0.108591978735048</v>
      </c>
      <c r="E9" s="10" t="s">
        <v>65</v>
      </c>
      <c r="F9" s="10" t="s">
        <v>139</v>
      </c>
      <c r="G9" s="10" t="s">
        <v>140</v>
      </c>
    </row>
    <row r="10" customFormat="false" ht="15" hidden="false" customHeight="false" outlineLevel="0" collapsed="false">
      <c r="A10" s="10" t="s">
        <v>141</v>
      </c>
      <c r="B10" s="10"/>
      <c r="C10" s="11" t="n">
        <v>1188</v>
      </c>
      <c r="D10" s="12" t="n">
        <f aca="false">C10/C$14</f>
        <v>0.0928778047064342</v>
      </c>
      <c r="E10" s="10" t="s">
        <v>57</v>
      </c>
      <c r="F10" s="10" t="s">
        <v>142</v>
      </c>
      <c r="G10" s="10" t="s">
        <v>143</v>
      </c>
    </row>
    <row r="11" customFormat="false" ht="23.85" hidden="false" customHeight="false" outlineLevel="0" collapsed="false">
      <c r="A11" s="10" t="s">
        <v>144</v>
      </c>
      <c r="B11" s="10"/>
      <c r="C11" s="11" t="n">
        <v>520</v>
      </c>
      <c r="D11" s="12" t="n">
        <f aca="false">C11/C$14</f>
        <v>0.0406535845516379</v>
      </c>
      <c r="E11" s="10" t="s">
        <v>145</v>
      </c>
      <c r="F11" s="10" t="s">
        <v>146</v>
      </c>
      <c r="G11" s="10" t="s">
        <v>147</v>
      </c>
    </row>
    <row r="12" customFormat="false" ht="15" hidden="false" customHeight="false" outlineLevel="0" collapsed="false">
      <c r="A12" s="10" t="s">
        <v>148</v>
      </c>
      <c r="B12" s="10"/>
      <c r="C12" s="11" t="n">
        <v>429</v>
      </c>
      <c r="D12" s="12" t="n">
        <f aca="false">C12/C$14</f>
        <v>0.0335392072551012</v>
      </c>
      <c r="E12" s="10" t="s">
        <v>57</v>
      </c>
      <c r="F12" s="10" t="s">
        <v>149</v>
      </c>
      <c r="G12" s="10"/>
    </row>
    <row r="13" customFormat="false" ht="15" hidden="false" customHeight="false" outlineLevel="0" collapsed="false">
      <c r="A13" s="10" t="s">
        <v>150</v>
      </c>
      <c r="B13" s="10"/>
      <c r="C13" s="11" t="n">
        <v>343</v>
      </c>
      <c r="D13" s="12" t="n">
        <f aca="false">C13/C$14</f>
        <v>0.0268157298100227</v>
      </c>
      <c r="E13" s="10" t="s">
        <v>57</v>
      </c>
      <c r="F13" s="10" t="s">
        <v>151</v>
      </c>
      <c r="G13" s="10" t="s">
        <v>152</v>
      </c>
    </row>
    <row r="14" customFormat="false" ht="15" hidden="false" customHeight="false" outlineLevel="0" collapsed="false">
      <c r="A14" s="13" t="s">
        <v>89</v>
      </c>
      <c r="C14" s="14" t="n">
        <f aca="false">SUM(C5:C13)</f>
        <v>12791</v>
      </c>
    </row>
  </sheetData>
  <autoFilter ref="A4:G13"/>
  <conditionalFormatting sqref="A5:G13">
    <cfRule type="expression" priority="2" aboveAverage="0" equalAverage="0" bottom="0" percent="0" rank="0" text="" dxfId="4">
      <formula>LEFT($E5,2)="Ya"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D8A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55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153</v>
      </c>
    </row>
    <row r="2" customFormat="false" ht="15" hidden="false" customHeight="false" outlineLevel="0" collapsed="false">
      <c r="A2" s="2" t="s">
        <v>154</v>
      </c>
    </row>
    <row r="4" customFormat="false" ht="30" hidden="false" customHeight="true" outlineLevel="0" collapsed="false">
      <c r="A4" s="3" t="s">
        <v>45</v>
      </c>
      <c r="B4" s="3" t="s">
        <v>48</v>
      </c>
      <c r="C4" s="3" t="s">
        <v>92</v>
      </c>
      <c r="D4" s="3" t="s">
        <v>93</v>
      </c>
      <c r="E4" s="3" t="s">
        <v>94</v>
      </c>
      <c r="F4" s="3" t="s">
        <v>95</v>
      </c>
    </row>
    <row r="5" customFormat="false" ht="23.85" hidden="false" customHeight="false" outlineLevel="0" collapsed="false">
      <c r="A5" s="10" t="s">
        <v>126</v>
      </c>
      <c r="B5" s="10" t="s">
        <v>65</v>
      </c>
      <c r="C5" s="10" t="s">
        <v>155</v>
      </c>
      <c r="D5" s="10" t="s">
        <v>99</v>
      </c>
      <c r="E5" s="10" t="s">
        <v>156</v>
      </c>
      <c r="F5" s="10" t="s">
        <v>104</v>
      </c>
    </row>
    <row r="6" customFormat="false" ht="23.85" hidden="false" customHeight="false" outlineLevel="0" collapsed="false">
      <c r="A6" s="10" t="s">
        <v>137</v>
      </c>
      <c r="B6" s="10" t="s">
        <v>65</v>
      </c>
      <c r="C6" s="10" t="s">
        <v>157</v>
      </c>
      <c r="D6" s="10" t="s">
        <v>97</v>
      </c>
      <c r="E6" s="10" t="s">
        <v>158</v>
      </c>
      <c r="F6" s="10" t="s">
        <v>99</v>
      </c>
    </row>
    <row r="7" customFormat="false" ht="23.85" hidden="false" customHeight="false" outlineLevel="0" collapsed="false">
      <c r="A7" s="10" t="s">
        <v>130</v>
      </c>
      <c r="B7" s="10" t="s">
        <v>65</v>
      </c>
      <c r="C7" s="10" t="s">
        <v>159</v>
      </c>
      <c r="D7" s="10" t="s">
        <v>97</v>
      </c>
      <c r="E7" s="10" t="s">
        <v>160</v>
      </c>
      <c r="F7" s="10" t="s">
        <v>97</v>
      </c>
    </row>
    <row r="8" customFormat="false" ht="15" hidden="false" customHeight="false" outlineLevel="0" collapsed="false">
      <c r="A8" s="10" t="s">
        <v>144</v>
      </c>
      <c r="B8" s="10" t="s">
        <v>65</v>
      </c>
      <c r="C8" s="10" t="s">
        <v>161</v>
      </c>
      <c r="D8" s="10" t="s">
        <v>97</v>
      </c>
      <c r="E8" s="10" t="s">
        <v>162</v>
      </c>
      <c r="F8" s="10" t="s">
        <v>97</v>
      </c>
    </row>
    <row r="9" customFormat="false" ht="15" hidden="false" customHeight="false" outlineLevel="0" collapsed="false">
      <c r="A9" s="10" t="s">
        <v>123</v>
      </c>
      <c r="B9" s="10" t="s">
        <v>57</v>
      </c>
      <c r="C9" s="10" t="s">
        <v>163</v>
      </c>
      <c r="D9" s="10" t="s">
        <v>97</v>
      </c>
      <c r="E9" s="10" t="s">
        <v>164</v>
      </c>
      <c r="F9" s="10" t="s">
        <v>99</v>
      </c>
    </row>
    <row r="10" customFormat="false" ht="15" hidden="false" customHeight="false" outlineLevel="0" collapsed="false">
      <c r="A10" s="10" t="s">
        <v>134</v>
      </c>
      <c r="B10" s="10" t="s">
        <v>57</v>
      </c>
      <c r="C10" s="10" t="s">
        <v>165</v>
      </c>
      <c r="D10" s="10" t="s">
        <v>104</v>
      </c>
      <c r="E10" s="10" t="s">
        <v>166</v>
      </c>
      <c r="F10" s="10" t="s">
        <v>97</v>
      </c>
    </row>
    <row r="11" customFormat="false" ht="15" hidden="false" customHeight="false" outlineLevel="0" collapsed="false">
      <c r="A11" s="10" t="s">
        <v>148</v>
      </c>
      <c r="B11" s="10" t="s">
        <v>57</v>
      </c>
      <c r="C11" s="10" t="s">
        <v>167</v>
      </c>
      <c r="D11" s="10" t="s">
        <v>168</v>
      </c>
      <c r="E11" s="10" t="s">
        <v>169</v>
      </c>
      <c r="F11" s="10" t="s">
        <v>104</v>
      </c>
    </row>
    <row r="12" customFormat="false" ht="15" hidden="false" customHeight="false" outlineLevel="0" collapsed="false">
      <c r="A12" s="10" t="s">
        <v>150</v>
      </c>
      <c r="B12" s="10" t="s">
        <v>57</v>
      </c>
      <c r="C12" s="10" t="s">
        <v>170</v>
      </c>
      <c r="D12" s="10" t="s">
        <v>104</v>
      </c>
      <c r="E12" s="10" t="s">
        <v>171</v>
      </c>
      <c r="F12" s="10" t="s">
        <v>168</v>
      </c>
    </row>
    <row r="13" customFormat="false" ht="15" hidden="false" customHeight="false" outlineLevel="0" collapsed="false">
      <c r="A13" s="10" t="s">
        <v>141</v>
      </c>
      <c r="B13" s="10" t="s">
        <v>57</v>
      </c>
      <c r="C13" s="10" t="s">
        <v>172</v>
      </c>
      <c r="D13" s="10" t="s">
        <v>168</v>
      </c>
      <c r="E13" s="10" t="s">
        <v>173</v>
      </c>
      <c r="F13" s="10" t="s">
        <v>97</v>
      </c>
    </row>
  </sheetData>
  <autoFilter ref="A4:F13"/>
  <conditionalFormatting sqref="D5:D13">
    <cfRule type="expression" priority="2" aboveAverage="0" equalAverage="0" bottom="0" percent="0" rank="0" text="" dxfId="8">
      <formula>LEFT(D5,13)="Sangat tinggi"</formula>
    </cfRule>
    <cfRule type="expression" priority="3" aboveAverage="0" equalAverage="0" bottom="0" percent="0" rank="0" text="" dxfId="9">
      <formula>LEFT(D5,6)="Tinggi"</formula>
    </cfRule>
    <cfRule type="expression" priority="4" aboveAverage="0" equalAverage="0" bottom="0" percent="0" rank="0" text="" dxfId="10">
      <formula>LEFT(D5,6)="Sedang"</formula>
    </cfRule>
    <cfRule type="expression" priority="5" aboveAverage="0" equalAverage="0" bottom="0" percent="0" rank="0" text="" dxfId="11">
      <formula>LEFT(D5,6)="Rendah"</formula>
    </cfRule>
  </conditionalFormatting>
  <conditionalFormatting sqref="F5:F13">
    <cfRule type="expression" priority="6" aboveAverage="0" equalAverage="0" bottom="0" percent="0" rank="0" text="" dxfId="8">
      <formula>LEFT(F5,13)="Sangat tinggi"</formula>
    </cfRule>
    <cfRule type="expression" priority="7" aboveAverage="0" equalAverage="0" bottom="0" percent="0" rank="0" text="" dxfId="9">
      <formula>LEFT(F5,6)="Tinggi"</formula>
    </cfRule>
    <cfRule type="expression" priority="8" aboveAverage="0" equalAverage="0" bottom="0" percent="0" rank="0" text="" dxfId="10">
      <formula>LEFT(F5,6)="Sedang"</formula>
    </cfRule>
    <cfRule type="expression" priority="9" aboveAverage="0" equalAverage="0" bottom="0" percent="0" rank="0" text="" dxfId="11">
      <formula>LEFT(F5,6)="Rendah"</formula>
    </cfRule>
  </conditionalFormatting>
  <conditionalFormatting sqref="A5:C13">
    <cfRule type="expression" priority="10" aboveAverage="0" equalAverage="0" bottom="0" percent="0" rank="0" text="" dxfId="4">
      <formula>LEFT($B5,2)="Ya"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3E8F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50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174</v>
      </c>
    </row>
    <row r="2" customFormat="false" ht="15" hidden="false" customHeight="false" outlineLevel="0" collapsed="false">
      <c r="A2" s="2" t="s">
        <v>175</v>
      </c>
    </row>
    <row r="4" customFormat="false" ht="30" hidden="false" customHeight="true" outlineLevel="0" collapsed="false">
      <c r="A4" s="3" t="s">
        <v>45</v>
      </c>
      <c r="B4" s="3" t="s">
        <v>176</v>
      </c>
      <c r="C4" s="3" t="s">
        <v>46</v>
      </c>
      <c r="D4" s="3" t="s">
        <v>47</v>
      </c>
      <c r="E4" s="3" t="s">
        <v>48</v>
      </c>
      <c r="F4" s="3" t="s">
        <v>49</v>
      </c>
      <c r="G4" s="3" t="s">
        <v>177</v>
      </c>
    </row>
    <row r="5" customFormat="false" ht="23.85" hidden="false" customHeight="false" outlineLevel="0" collapsed="false">
      <c r="A5" s="10" t="s">
        <v>178</v>
      </c>
      <c r="B5" s="10" t="s">
        <v>179</v>
      </c>
      <c r="C5" s="11" t="n">
        <v>2875</v>
      </c>
      <c r="D5" s="12" t="n">
        <f aca="false">C5/C$13</f>
        <v>0.306666666666667</v>
      </c>
      <c r="E5" s="10" t="s">
        <v>61</v>
      </c>
      <c r="F5" s="10" t="s">
        <v>180</v>
      </c>
      <c r="G5" s="10" t="s">
        <v>181</v>
      </c>
    </row>
    <row r="6" customFormat="false" ht="23.85" hidden="false" customHeight="false" outlineLevel="0" collapsed="false">
      <c r="A6" s="10" t="s">
        <v>182</v>
      </c>
      <c r="B6" s="10" t="s">
        <v>183</v>
      </c>
      <c r="C6" s="11" t="n">
        <v>2204</v>
      </c>
      <c r="D6" s="12" t="n">
        <f aca="false">C6/C$13</f>
        <v>0.235093333333333</v>
      </c>
      <c r="E6" s="10" t="s">
        <v>65</v>
      </c>
      <c r="F6" s="10" t="s">
        <v>184</v>
      </c>
      <c r="G6" s="10" t="s">
        <v>185</v>
      </c>
    </row>
    <row r="7" customFormat="false" ht="15" hidden="false" customHeight="false" outlineLevel="0" collapsed="false">
      <c r="A7" s="10" t="s">
        <v>186</v>
      </c>
      <c r="B7" s="10" t="s">
        <v>187</v>
      </c>
      <c r="C7" s="11" t="n">
        <v>2124</v>
      </c>
      <c r="D7" s="12" t="n">
        <f aca="false">C7/C$13</f>
        <v>0.22656</v>
      </c>
      <c r="E7" s="10" t="s">
        <v>65</v>
      </c>
      <c r="F7" s="10" t="s">
        <v>188</v>
      </c>
      <c r="G7" s="10" t="s">
        <v>189</v>
      </c>
    </row>
    <row r="8" customFormat="false" ht="15" hidden="false" customHeight="false" outlineLevel="0" collapsed="false">
      <c r="A8" s="10" t="s">
        <v>190</v>
      </c>
      <c r="B8" s="10" t="s">
        <v>191</v>
      </c>
      <c r="C8" s="11" t="n">
        <v>1418</v>
      </c>
      <c r="D8" s="12" t="n">
        <f aca="false">C8/C$13</f>
        <v>0.151253333333333</v>
      </c>
      <c r="E8" s="10" t="s">
        <v>192</v>
      </c>
      <c r="F8" s="10" t="s">
        <v>193</v>
      </c>
      <c r="G8" s="10" t="s">
        <v>194</v>
      </c>
    </row>
    <row r="9" customFormat="false" ht="15" hidden="false" customHeight="false" outlineLevel="0" collapsed="false">
      <c r="A9" s="10" t="s">
        <v>195</v>
      </c>
      <c r="B9" s="10"/>
      <c r="C9" s="11" t="n">
        <v>318</v>
      </c>
      <c r="D9" s="12" t="n">
        <f aca="false">C9/C$13</f>
        <v>0.03392</v>
      </c>
      <c r="E9" s="10" t="s">
        <v>57</v>
      </c>
      <c r="F9" s="10" t="s">
        <v>196</v>
      </c>
      <c r="G9" s="10"/>
    </row>
    <row r="10" customFormat="false" ht="15" hidden="false" customHeight="false" outlineLevel="0" collapsed="false">
      <c r="A10" s="10" t="s">
        <v>197</v>
      </c>
      <c r="B10" s="10" t="s">
        <v>198</v>
      </c>
      <c r="C10" s="11" t="n">
        <v>292</v>
      </c>
      <c r="D10" s="12" t="n">
        <f aca="false">C10/C$13</f>
        <v>0.0311466666666667</v>
      </c>
      <c r="E10" s="10" t="s">
        <v>57</v>
      </c>
      <c r="F10" s="10" t="s">
        <v>199</v>
      </c>
      <c r="G10" s="10"/>
    </row>
    <row r="11" customFormat="false" ht="23.85" hidden="false" customHeight="false" outlineLevel="0" collapsed="false">
      <c r="A11" s="10" t="s">
        <v>200</v>
      </c>
      <c r="B11" s="10"/>
      <c r="C11" s="11" t="n">
        <v>81</v>
      </c>
      <c r="D11" s="12" t="n">
        <f aca="false">C11/C$13</f>
        <v>0.00864</v>
      </c>
      <c r="E11" s="10" t="s">
        <v>57</v>
      </c>
      <c r="F11" s="10" t="s">
        <v>201</v>
      </c>
      <c r="G11" s="10"/>
    </row>
    <row r="12" customFormat="false" ht="15" hidden="false" customHeight="false" outlineLevel="0" collapsed="false">
      <c r="A12" s="10" t="s">
        <v>202</v>
      </c>
      <c r="B12" s="10" t="s">
        <v>203</v>
      </c>
      <c r="C12" s="11" t="n">
        <v>63</v>
      </c>
      <c r="D12" s="12" t="n">
        <f aca="false">C12/C$13</f>
        <v>0.00672</v>
      </c>
      <c r="E12" s="10" t="s">
        <v>57</v>
      </c>
      <c r="F12" s="10" t="s">
        <v>204</v>
      </c>
      <c r="G12" s="10"/>
    </row>
    <row r="13" customFormat="false" ht="15" hidden="false" customHeight="false" outlineLevel="0" collapsed="false">
      <c r="A13" s="13" t="s">
        <v>89</v>
      </c>
      <c r="C13" s="14" t="n">
        <f aca="false">SUM(C5:C12)</f>
        <v>9375</v>
      </c>
    </row>
  </sheetData>
  <autoFilter ref="A4:G12"/>
  <conditionalFormatting sqref="A5:G12">
    <cfRule type="expression" priority="2" aboveAverage="0" equalAverage="0" bottom="0" percent="0" rank="0" text="" dxfId="4">
      <formula>LEFT($E5,2)="Ya"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3E8F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205</v>
      </c>
    </row>
    <row r="2" customFormat="false" ht="15" hidden="false" customHeight="false" outlineLevel="0" collapsed="false">
      <c r="A2" s="2" t="s">
        <v>206</v>
      </c>
    </row>
    <row r="4" customFormat="false" ht="30" hidden="false" customHeight="true" outlineLevel="0" collapsed="false">
      <c r="A4" s="3" t="s">
        <v>45</v>
      </c>
      <c r="B4" s="3" t="s">
        <v>48</v>
      </c>
      <c r="C4" s="3" t="s">
        <v>92</v>
      </c>
      <c r="D4" s="3" t="s">
        <v>93</v>
      </c>
      <c r="E4" s="3" t="s">
        <v>94</v>
      </c>
      <c r="F4" s="3" t="s">
        <v>95</v>
      </c>
    </row>
    <row r="5" customFormat="false" ht="23.85" hidden="false" customHeight="false" outlineLevel="0" collapsed="false">
      <c r="A5" s="10" t="s">
        <v>178</v>
      </c>
      <c r="B5" s="10" t="s">
        <v>65</v>
      </c>
      <c r="C5" s="10" t="s">
        <v>207</v>
      </c>
      <c r="D5" s="10" t="s">
        <v>99</v>
      </c>
      <c r="E5" s="10" t="s">
        <v>208</v>
      </c>
      <c r="F5" s="10" t="s">
        <v>99</v>
      </c>
    </row>
    <row r="6" customFormat="false" ht="23.85" hidden="false" customHeight="false" outlineLevel="0" collapsed="false">
      <c r="A6" s="10" t="s">
        <v>209</v>
      </c>
      <c r="B6" s="10" t="s">
        <v>65</v>
      </c>
      <c r="C6" s="10" t="s">
        <v>210</v>
      </c>
      <c r="D6" s="10" t="s">
        <v>99</v>
      </c>
      <c r="E6" s="10" t="s">
        <v>211</v>
      </c>
      <c r="F6" s="10" t="s">
        <v>97</v>
      </c>
    </row>
    <row r="7" customFormat="false" ht="15" hidden="false" customHeight="false" outlineLevel="0" collapsed="false">
      <c r="A7" s="10" t="s">
        <v>212</v>
      </c>
      <c r="B7" s="10" t="s">
        <v>65</v>
      </c>
      <c r="C7" s="10" t="s">
        <v>213</v>
      </c>
      <c r="D7" s="10" t="s">
        <v>97</v>
      </c>
      <c r="E7" s="10" t="s">
        <v>214</v>
      </c>
      <c r="F7" s="10" t="s">
        <v>99</v>
      </c>
    </row>
    <row r="8" customFormat="false" ht="15" hidden="false" customHeight="false" outlineLevel="0" collapsed="false">
      <c r="A8" s="10" t="s">
        <v>190</v>
      </c>
      <c r="B8" s="10" t="s">
        <v>57</v>
      </c>
      <c r="C8" s="10" t="s">
        <v>215</v>
      </c>
      <c r="D8" s="10" t="s">
        <v>97</v>
      </c>
      <c r="E8" s="10" t="s">
        <v>216</v>
      </c>
      <c r="F8" s="10" t="s">
        <v>97</v>
      </c>
    </row>
    <row r="9" customFormat="false" ht="23.85" hidden="false" customHeight="false" outlineLevel="0" collapsed="false">
      <c r="A9" s="10" t="s">
        <v>217</v>
      </c>
      <c r="B9" s="10" t="s">
        <v>57</v>
      </c>
      <c r="C9" s="10" t="s">
        <v>218</v>
      </c>
      <c r="D9" s="10" t="s">
        <v>104</v>
      </c>
      <c r="E9" s="10" t="s">
        <v>219</v>
      </c>
      <c r="F9" s="10" t="s">
        <v>99</v>
      </c>
    </row>
    <row r="10" customFormat="false" ht="15" hidden="false" customHeight="false" outlineLevel="0" collapsed="false">
      <c r="A10" s="10" t="s">
        <v>197</v>
      </c>
      <c r="B10" s="10" t="s">
        <v>57</v>
      </c>
      <c r="C10" s="10" t="s">
        <v>220</v>
      </c>
      <c r="D10" s="10" t="s">
        <v>104</v>
      </c>
      <c r="E10" s="10" t="s">
        <v>221</v>
      </c>
      <c r="F10" s="10" t="s">
        <v>104</v>
      </c>
    </row>
    <row r="11" customFormat="false" ht="15" hidden="false" customHeight="false" outlineLevel="0" collapsed="false">
      <c r="A11" s="10" t="s">
        <v>202</v>
      </c>
      <c r="B11" s="10" t="s">
        <v>57</v>
      </c>
      <c r="C11" s="10" t="s">
        <v>222</v>
      </c>
      <c r="D11" s="10" t="s">
        <v>168</v>
      </c>
      <c r="E11" s="10" t="s">
        <v>223</v>
      </c>
      <c r="F11" s="10" t="s">
        <v>104</v>
      </c>
    </row>
  </sheetData>
  <autoFilter ref="A4:F11"/>
  <conditionalFormatting sqref="D5:D11">
    <cfRule type="expression" priority="2" aboveAverage="0" equalAverage="0" bottom="0" percent="0" rank="0" text="" dxfId="8">
      <formula>LEFT(D5,13)="Sangat tinggi"</formula>
    </cfRule>
    <cfRule type="expression" priority="3" aboveAverage="0" equalAverage="0" bottom="0" percent="0" rank="0" text="" dxfId="9">
      <formula>LEFT(D5,6)="Tinggi"</formula>
    </cfRule>
    <cfRule type="expression" priority="4" aboveAverage="0" equalAverage="0" bottom="0" percent="0" rank="0" text="" dxfId="10">
      <formula>LEFT(D5,6)="Sedang"</formula>
    </cfRule>
    <cfRule type="expression" priority="5" aboveAverage="0" equalAverage="0" bottom="0" percent="0" rank="0" text="" dxfId="11">
      <formula>LEFT(D5,6)="Rendah"</formula>
    </cfRule>
  </conditionalFormatting>
  <conditionalFormatting sqref="F5:F11">
    <cfRule type="expression" priority="6" aboveAverage="0" equalAverage="0" bottom="0" percent="0" rank="0" text="" dxfId="8">
      <formula>LEFT(F5,13)="Sangat tinggi"</formula>
    </cfRule>
    <cfRule type="expression" priority="7" aboveAverage="0" equalAverage="0" bottom="0" percent="0" rank="0" text="" dxfId="9">
      <formula>LEFT(F5,6)="Tinggi"</formula>
    </cfRule>
    <cfRule type="expression" priority="8" aboveAverage="0" equalAverage="0" bottom="0" percent="0" rank="0" text="" dxfId="10">
      <formula>LEFT(F5,6)="Sedang"</formula>
    </cfRule>
    <cfRule type="expression" priority="9" aboveAverage="0" equalAverage="0" bottom="0" percent="0" rank="0" text="" dxfId="11">
      <formula>LEFT(F5,6)="Rendah"</formula>
    </cfRule>
  </conditionalFormatting>
  <conditionalFormatting sqref="A5:C11">
    <cfRule type="expression" priority="10" aboveAverage="0" equalAverage="0" bottom="0" percent="0" rank="0" text="" dxfId="4">
      <formula>LEFT($B5,2)="Ya"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568"/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3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2" t="s">
        <v>225</v>
      </c>
    </row>
    <row r="4" customFormat="false" ht="30" hidden="false" customHeight="true" outlineLevel="0" collapsed="false">
      <c r="A4" s="3" t="s">
        <v>226</v>
      </c>
      <c r="B4" s="3" t="s">
        <v>3</v>
      </c>
      <c r="C4" s="3" t="s">
        <v>227</v>
      </c>
      <c r="D4" s="3" t="s">
        <v>228</v>
      </c>
      <c r="E4" s="3" t="s">
        <v>229</v>
      </c>
      <c r="F4" s="3" t="s">
        <v>230</v>
      </c>
    </row>
    <row r="5" customFormat="false" ht="15" hidden="false" customHeight="false" outlineLevel="0" collapsed="false">
      <c r="A5" s="10" t="s">
        <v>231</v>
      </c>
      <c r="B5" s="10" t="s">
        <v>232</v>
      </c>
      <c r="C5" s="10" t="s">
        <v>233</v>
      </c>
      <c r="D5" s="10" t="s">
        <v>234</v>
      </c>
      <c r="E5" s="10" t="s">
        <v>235</v>
      </c>
      <c r="F5" s="10" t="s">
        <v>236</v>
      </c>
    </row>
    <row r="6" customFormat="false" ht="15" hidden="false" customHeight="false" outlineLevel="0" collapsed="false">
      <c r="A6" s="10" t="s">
        <v>237</v>
      </c>
      <c r="B6" s="10" t="s">
        <v>238</v>
      </c>
      <c r="C6" s="10" t="s">
        <v>239</v>
      </c>
      <c r="D6" s="10" t="s">
        <v>240</v>
      </c>
      <c r="E6" s="10" t="s">
        <v>10</v>
      </c>
      <c r="F6" s="10" t="s">
        <v>236</v>
      </c>
    </row>
    <row r="7" customFormat="false" ht="15" hidden="false" customHeight="false" outlineLevel="0" collapsed="false">
      <c r="A7" s="10" t="s">
        <v>241</v>
      </c>
      <c r="B7" s="10" t="s">
        <v>242</v>
      </c>
      <c r="C7" s="10" t="s">
        <v>243</v>
      </c>
      <c r="D7" s="10" t="s">
        <v>244</v>
      </c>
      <c r="E7" s="10" t="s">
        <v>10</v>
      </c>
      <c r="F7" s="10" t="s">
        <v>236</v>
      </c>
    </row>
    <row r="8" customFormat="false" ht="15" hidden="false" customHeight="false" outlineLevel="0" collapsed="false">
      <c r="A8" s="10" t="s">
        <v>245</v>
      </c>
      <c r="B8" s="10" t="s">
        <v>246</v>
      </c>
      <c r="C8" s="10" t="s">
        <v>247</v>
      </c>
      <c r="D8" s="10" t="s">
        <v>248</v>
      </c>
      <c r="E8" s="10" t="s">
        <v>10</v>
      </c>
      <c r="F8" s="10" t="s">
        <v>236</v>
      </c>
    </row>
    <row r="9" customFormat="false" ht="15" hidden="false" customHeight="false" outlineLevel="0" collapsed="false">
      <c r="A9" s="10" t="s">
        <v>249</v>
      </c>
      <c r="B9" s="10" t="s">
        <v>250</v>
      </c>
      <c r="C9" s="10" t="s">
        <v>251</v>
      </c>
      <c r="D9" s="10" t="s">
        <v>252</v>
      </c>
      <c r="E9" s="10" t="s">
        <v>253</v>
      </c>
      <c r="F9" s="10" t="s">
        <v>236</v>
      </c>
    </row>
    <row r="10" customFormat="false" ht="15" hidden="false" customHeight="false" outlineLevel="0" collapsed="false">
      <c r="A10" s="10" t="s">
        <v>254</v>
      </c>
      <c r="B10" s="10" t="s">
        <v>255</v>
      </c>
      <c r="C10" s="10" t="s">
        <v>256</v>
      </c>
      <c r="D10" s="10" t="s">
        <v>257</v>
      </c>
      <c r="E10" s="10" t="s">
        <v>17</v>
      </c>
      <c r="F10" s="10" t="s">
        <v>258</v>
      </c>
    </row>
    <row r="11" customFormat="false" ht="15" hidden="false" customHeight="false" outlineLevel="0" collapsed="false">
      <c r="A11" s="10" t="s">
        <v>259</v>
      </c>
      <c r="B11" s="10" t="s">
        <v>260</v>
      </c>
      <c r="C11" s="10" t="s">
        <v>261</v>
      </c>
      <c r="D11" s="10" t="s">
        <v>262</v>
      </c>
      <c r="E11" s="10" t="s">
        <v>263</v>
      </c>
      <c r="F11" s="10" t="s">
        <v>236</v>
      </c>
    </row>
    <row r="12" customFormat="false" ht="15" hidden="false" customHeight="false" outlineLevel="0" collapsed="false">
      <c r="A12" s="10" t="s">
        <v>264</v>
      </c>
      <c r="B12" s="10" t="s">
        <v>265</v>
      </c>
      <c r="C12" s="10" t="s">
        <v>266</v>
      </c>
      <c r="D12" s="10" t="s">
        <v>267</v>
      </c>
      <c r="E12" s="10" t="s">
        <v>268</v>
      </c>
      <c r="F12" s="10" t="s">
        <v>258</v>
      </c>
    </row>
    <row r="13" customFormat="false" ht="23.85" hidden="false" customHeight="false" outlineLevel="0" collapsed="false">
      <c r="A13" s="10" t="s">
        <v>269</v>
      </c>
      <c r="B13" s="10" t="s">
        <v>270</v>
      </c>
      <c r="C13" s="10" t="s">
        <v>271</v>
      </c>
      <c r="D13" s="10" t="s">
        <v>272</v>
      </c>
      <c r="E13" s="10" t="s">
        <v>268</v>
      </c>
      <c r="F13" s="10" t="s">
        <v>236</v>
      </c>
    </row>
    <row r="14" customFormat="false" ht="15" hidden="false" customHeight="false" outlineLevel="0" collapsed="false">
      <c r="A14" s="10" t="s">
        <v>273</v>
      </c>
      <c r="B14" s="10" t="s">
        <v>274</v>
      </c>
      <c r="C14" s="10" t="s">
        <v>275</v>
      </c>
      <c r="D14" s="10" t="s">
        <v>276</v>
      </c>
      <c r="E14" s="10" t="s">
        <v>268</v>
      </c>
      <c r="F14" s="10" t="s">
        <v>236</v>
      </c>
    </row>
    <row r="15" customFormat="false" ht="15" hidden="false" customHeight="false" outlineLevel="0" collapsed="false">
      <c r="A15" s="10" t="s">
        <v>277</v>
      </c>
      <c r="B15" s="10" t="s">
        <v>278</v>
      </c>
      <c r="C15" s="10" t="s">
        <v>279</v>
      </c>
      <c r="D15" s="10" t="s">
        <v>280</v>
      </c>
      <c r="E15" s="10" t="s">
        <v>281</v>
      </c>
      <c r="F15" s="10" t="s">
        <v>236</v>
      </c>
    </row>
    <row r="16" customFormat="false" ht="15" hidden="false" customHeight="false" outlineLevel="0" collapsed="false">
      <c r="A16" s="10" t="s">
        <v>282</v>
      </c>
      <c r="B16" s="10" t="s">
        <v>283</v>
      </c>
      <c r="C16" s="10" t="s">
        <v>261</v>
      </c>
      <c r="D16" s="10" t="s">
        <v>262</v>
      </c>
      <c r="E16" s="10" t="s">
        <v>10</v>
      </c>
      <c r="F16" s="10" t="s">
        <v>236</v>
      </c>
    </row>
    <row r="17" customFormat="false" ht="15" hidden="false" customHeight="false" outlineLevel="0" collapsed="false">
      <c r="A17" s="10" t="s">
        <v>284</v>
      </c>
      <c r="B17" s="10" t="s">
        <v>285</v>
      </c>
      <c r="C17" s="10" t="s">
        <v>286</v>
      </c>
      <c r="D17" s="10" t="s">
        <v>287</v>
      </c>
      <c r="E17" s="10" t="s">
        <v>10</v>
      </c>
      <c r="F17" s="10" t="s">
        <v>258</v>
      </c>
    </row>
    <row r="18" customFormat="false" ht="15" hidden="false" customHeight="false" outlineLevel="0" collapsed="false">
      <c r="A18" s="10" t="s">
        <v>288</v>
      </c>
      <c r="B18" s="10" t="s">
        <v>289</v>
      </c>
      <c r="C18" s="10" t="s">
        <v>290</v>
      </c>
      <c r="D18" s="10" t="s">
        <v>291</v>
      </c>
      <c r="E18" s="10" t="s">
        <v>281</v>
      </c>
      <c r="F18" s="10" t="s">
        <v>236</v>
      </c>
    </row>
    <row r="19" customFormat="false" ht="15" hidden="false" customHeight="false" outlineLevel="0" collapsed="false">
      <c r="A19" s="10" t="s">
        <v>292</v>
      </c>
      <c r="B19" s="10" t="s">
        <v>293</v>
      </c>
      <c r="C19" s="10" t="s">
        <v>294</v>
      </c>
      <c r="D19" s="10" t="s">
        <v>295</v>
      </c>
      <c r="E19" s="10" t="s">
        <v>24</v>
      </c>
      <c r="F19" s="10" t="s">
        <v>258</v>
      </c>
    </row>
    <row r="20" customFormat="false" ht="15" hidden="false" customHeight="false" outlineLevel="0" collapsed="false">
      <c r="A20" s="10" t="s">
        <v>296</v>
      </c>
      <c r="B20" s="10" t="s">
        <v>297</v>
      </c>
      <c r="C20" s="10" t="s">
        <v>298</v>
      </c>
      <c r="D20" s="10" t="s">
        <v>280</v>
      </c>
      <c r="E20" s="10" t="s">
        <v>24</v>
      </c>
      <c r="F20" s="10" t="s">
        <v>236</v>
      </c>
    </row>
    <row r="21" customFormat="false" ht="15" hidden="false" customHeight="false" outlineLevel="0" collapsed="false">
      <c r="A21" s="10" t="s">
        <v>299</v>
      </c>
      <c r="B21" s="10" t="s">
        <v>300</v>
      </c>
      <c r="C21" s="10" t="s">
        <v>301</v>
      </c>
      <c r="D21" s="10" t="s">
        <v>302</v>
      </c>
      <c r="E21" s="10" t="s">
        <v>24</v>
      </c>
      <c r="F21" s="10" t="s">
        <v>236</v>
      </c>
    </row>
    <row r="22" customFormat="false" ht="15" hidden="false" customHeight="false" outlineLevel="0" collapsed="false">
      <c r="A22" s="10" t="s">
        <v>303</v>
      </c>
      <c r="B22" s="10" t="s">
        <v>304</v>
      </c>
      <c r="C22" s="10" t="s">
        <v>305</v>
      </c>
      <c r="D22" s="10" t="s">
        <v>306</v>
      </c>
      <c r="E22" s="10" t="s">
        <v>24</v>
      </c>
      <c r="F22" s="10" t="s">
        <v>258</v>
      </c>
    </row>
    <row r="23" customFormat="false" ht="15" hidden="false" customHeight="false" outlineLevel="0" collapsed="false">
      <c r="A23" s="10" t="s">
        <v>307</v>
      </c>
      <c r="B23" s="10" t="s">
        <v>308</v>
      </c>
      <c r="C23" s="10" t="s">
        <v>309</v>
      </c>
      <c r="D23" s="10" t="s">
        <v>310</v>
      </c>
      <c r="E23" s="10" t="s">
        <v>17</v>
      </c>
      <c r="F23" s="10" t="s">
        <v>258</v>
      </c>
    </row>
    <row r="24" customFormat="false" ht="15" hidden="false" customHeight="false" outlineLevel="0" collapsed="false">
      <c r="A24" s="10" t="s">
        <v>311</v>
      </c>
      <c r="B24" s="10" t="s">
        <v>312</v>
      </c>
      <c r="C24" s="10" t="s">
        <v>313</v>
      </c>
      <c r="D24" s="10" t="s">
        <v>257</v>
      </c>
      <c r="E24" s="10" t="s">
        <v>17</v>
      </c>
      <c r="F24" s="10" t="s">
        <v>258</v>
      </c>
    </row>
  </sheetData>
  <autoFilter ref="A4:F24"/>
  <conditionalFormatting sqref="F5:F24">
    <cfRule type="cellIs" priority="2" operator="equal" aboveAverage="0" equalAverage="0" bottom="0" percent="0" rank="0" text="" dxfId="10">
      <formula>"Perlu verifikasi"</formula>
    </cfRule>
    <cfRule type="cellIs" priority="3" operator="equal" aboveAverage="0" equalAverage="0" bottom="0" percent="0" rank="0" text="" dxfId="11">
      <formula>"Terverifikasi"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568"/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34"/>
    <col collapsed="false" customWidth="true" hidden="false" outlineLevel="0" max="4" min="4" style="0" width="60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314</v>
      </c>
    </row>
    <row r="2" customFormat="false" ht="15" hidden="false" customHeight="false" outlineLevel="0" collapsed="false">
      <c r="A2" s="2" t="s">
        <v>315</v>
      </c>
    </row>
    <row r="4" customFormat="false" ht="30" hidden="false" customHeight="true" outlineLevel="0" collapsed="false">
      <c r="A4" s="3" t="s">
        <v>2</v>
      </c>
      <c r="B4" s="3" t="s">
        <v>316</v>
      </c>
      <c r="C4" s="3" t="s">
        <v>317</v>
      </c>
      <c r="D4" s="3" t="s">
        <v>318</v>
      </c>
      <c r="E4" s="3" t="s">
        <v>319</v>
      </c>
    </row>
    <row r="5" customFormat="false" ht="15" hidden="false" customHeight="false" outlineLevel="0" collapsed="false">
      <c r="A5" s="10" t="s">
        <v>10</v>
      </c>
      <c r="B5" s="10" t="s">
        <v>320</v>
      </c>
      <c r="C5" s="10" t="s">
        <v>321</v>
      </c>
      <c r="D5" s="10" t="s">
        <v>322</v>
      </c>
      <c r="E5" s="10" t="s">
        <v>236</v>
      </c>
    </row>
    <row r="6" customFormat="false" ht="23.85" hidden="false" customHeight="false" outlineLevel="0" collapsed="false">
      <c r="A6" s="10" t="s">
        <v>10</v>
      </c>
      <c r="B6" s="10" t="s">
        <v>323</v>
      </c>
      <c r="C6" s="10" t="s">
        <v>324</v>
      </c>
      <c r="D6" s="10" t="s">
        <v>325</v>
      </c>
      <c r="E6" s="10" t="s">
        <v>326</v>
      </c>
    </row>
    <row r="7" customFormat="false" ht="15" hidden="false" customHeight="false" outlineLevel="0" collapsed="false">
      <c r="A7" s="10" t="s">
        <v>10</v>
      </c>
      <c r="B7" s="10" t="s">
        <v>327</v>
      </c>
      <c r="C7" s="10" t="s">
        <v>328</v>
      </c>
      <c r="D7" s="10" t="s">
        <v>329</v>
      </c>
      <c r="E7" s="10" t="s">
        <v>330</v>
      </c>
    </row>
    <row r="8" customFormat="false" ht="15" hidden="false" customHeight="false" outlineLevel="0" collapsed="false">
      <c r="A8" s="10" t="s">
        <v>17</v>
      </c>
      <c r="B8" s="10" t="s">
        <v>331</v>
      </c>
      <c r="C8" s="10" t="s">
        <v>332</v>
      </c>
      <c r="D8" s="10" t="s">
        <v>333</v>
      </c>
      <c r="E8" s="10" t="s">
        <v>236</v>
      </c>
    </row>
    <row r="9" customFormat="false" ht="15" hidden="false" customHeight="false" outlineLevel="0" collapsed="false">
      <c r="A9" s="10" t="s">
        <v>17</v>
      </c>
      <c r="B9" s="10" t="s">
        <v>334</v>
      </c>
      <c r="C9" s="10" t="s">
        <v>335</v>
      </c>
      <c r="D9" s="10" t="s">
        <v>336</v>
      </c>
      <c r="E9" s="10" t="s">
        <v>330</v>
      </c>
    </row>
    <row r="10" customFormat="false" ht="23.85" hidden="false" customHeight="false" outlineLevel="0" collapsed="false">
      <c r="A10" s="10" t="s">
        <v>24</v>
      </c>
      <c r="B10" s="10" t="s">
        <v>337</v>
      </c>
      <c r="C10" s="10" t="s">
        <v>338</v>
      </c>
      <c r="D10" s="10" t="s">
        <v>339</v>
      </c>
      <c r="E10" s="10" t="s">
        <v>340</v>
      </c>
    </row>
    <row r="11" customFormat="false" ht="15" hidden="false" customHeight="false" outlineLevel="0" collapsed="false">
      <c r="A11" s="10" t="s">
        <v>24</v>
      </c>
      <c r="B11" s="10" t="s">
        <v>341</v>
      </c>
      <c r="C11" s="10" t="s">
        <v>342</v>
      </c>
      <c r="D11" s="10" t="s">
        <v>343</v>
      </c>
      <c r="E11" s="10" t="s">
        <v>326</v>
      </c>
    </row>
    <row r="14" customFormat="false" ht="15" hidden="false" customHeight="false" outlineLevel="0" collapsed="false">
      <c r="A14" s="8" t="s">
        <v>344</v>
      </c>
    </row>
    <row r="15" customFormat="false" ht="15" hidden="false" customHeight="false" outlineLevel="0" collapsed="false">
      <c r="A15" s="15" t="s">
        <v>345</v>
      </c>
    </row>
    <row r="16" customFormat="false" ht="15" hidden="false" customHeight="false" outlineLevel="0" collapsed="false">
      <c r="A16" s="15" t="s">
        <v>346</v>
      </c>
    </row>
    <row r="17" customFormat="false" ht="15" hidden="false" customHeight="false" outlineLevel="0" collapsed="false">
      <c r="A17" s="15" t="s">
        <v>347</v>
      </c>
    </row>
  </sheetData>
  <autoFilter ref="A4:E11"/>
  <conditionalFormatting sqref="E5:E11">
    <cfRule type="expression" priority="2" aboveAverage="0" equalAverage="0" bottom="0" percent="0" rank="0" text="" dxfId="11">
      <formula>LEFT(E5,13)="Terverifikasi"</formula>
    </cfRule>
    <cfRule type="expression" priority="3" aboveAverage="0" equalAverage="0" bottom="0" percent="0" rank="0" text="" dxfId="10">
      <formula>LEFT(E5,8)="Didukung"</formula>
    </cfRule>
    <cfRule type="expression" priority="4" aboveAverage="0" equalAverage="0" bottom="0" percent="0" rank="0" text="" dxfId="8">
      <formula>LEFT(E5,10)="Berlawanan"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568"/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348</v>
      </c>
    </row>
    <row r="2" customFormat="false" ht="15" hidden="false" customHeight="false" outlineLevel="0" collapsed="false">
      <c r="A2" s="2" t="s">
        <v>349</v>
      </c>
    </row>
    <row r="4" customFormat="false" ht="30" hidden="false" customHeight="true" outlineLevel="0" collapsed="false">
      <c r="A4" s="3" t="s">
        <v>350</v>
      </c>
      <c r="B4" s="3" t="s">
        <v>351</v>
      </c>
      <c r="C4" s="3" t="s">
        <v>352</v>
      </c>
      <c r="D4" s="3" t="s">
        <v>177</v>
      </c>
    </row>
    <row r="5" customFormat="false" ht="15" hidden="false" customHeight="false" outlineLevel="0" collapsed="false">
      <c r="A5" s="10" t="s">
        <v>353</v>
      </c>
      <c r="B5" s="16" t="n">
        <v>0.54</v>
      </c>
      <c r="C5" s="17" t="n">
        <f aca="false">B5*$C$9</f>
        <v>31.158</v>
      </c>
      <c r="D5" s="10" t="s">
        <v>354</v>
      </c>
    </row>
    <row r="6" customFormat="false" ht="15" hidden="false" customHeight="false" outlineLevel="0" collapsed="false">
      <c r="A6" s="10" t="s">
        <v>355</v>
      </c>
      <c r="B6" s="16" t="n">
        <v>0.38</v>
      </c>
      <c r="C6" s="17" t="n">
        <f aca="false">B6*$C$9</f>
        <v>21.926</v>
      </c>
      <c r="D6" s="10" t="s">
        <v>356</v>
      </c>
    </row>
    <row r="7" customFormat="false" ht="15" hidden="false" customHeight="false" outlineLevel="0" collapsed="false">
      <c r="A7" s="10" t="s">
        <v>357</v>
      </c>
      <c r="B7" s="16" t="n">
        <v>0.06</v>
      </c>
      <c r="C7" s="17" t="n">
        <f aca="false">B7*$C$9</f>
        <v>3.462</v>
      </c>
      <c r="D7" s="10" t="s">
        <v>358</v>
      </c>
    </row>
    <row r="8" customFormat="false" ht="15" hidden="false" customHeight="false" outlineLevel="0" collapsed="false">
      <c r="A8" s="10" t="s">
        <v>359</v>
      </c>
      <c r="B8" s="16" t="n">
        <v>0.03</v>
      </c>
      <c r="C8" s="17" t="n">
        <f aca="false">B8*$C$9</f>
        <v>1.731</v>
      </c>
      <c r="D8" s="10" t="s">
        <v>360</v>
      </c>
    </row>
    <row r="9" customFormat="false" ht="15" hidden="false" customHeight="false" outlineLevel="0" collapsed="false">
      <c r="A9" s="13" t="s">
        <v>361</v>
      </c>
      <c r="C9" s="18" t="n">
        <v>57.7</v>
      </c>
    </row>
    <row r="10" customFormat="false" ht="15" hidden="false" customHeight="false" outlineLevel="0" collapsed="false">
      <c r="A10" s="15" t="s">
        <v>362</v>
      </c>
      <c r="B10" s="19" t="n">
        <f aca="false">SUM(B5:B8)</f>
        <v>1.01</v>
      </c>
    </row>
  </sheetData>
  <autoFilter ref="A4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568"/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363</v>
      </c>
    </row>
    <row r="2" customFormat="false" ht="15" hidden="false" customHeight="false" outlineLevel="0" collapsed="false">
      <c r="A2" s="2" t="s">
        <v>364</v>
      </c>
    </row>
    <row r="4" customFormat="false" ht="30" hidden="false" customHeight="true" outlineLevel="0" collapsed="false">
      <c r="A4" s="3" t="s">
        <v>365</v>
      </c>
      <c r="B4" s="3" t="s">
        <v>41</v>
      </c>
      <c r="C4" s="3" t="s">
        <v>366</v>
      </c>
    </row>
    <row r="5" customFormat="false" ht="15" hidden="false" customHeight="false" outlineLevel="0" collapsed="false">
      <c r="A5" s="10" t="s">
        <v>367</v>
      </c>
      <c r="B5" s="10" t="s">
        <v>368</v>
      </c>
      <c r="C5" s="10" t="s">
        <v>369</v>
      </c>
    </row>
    <row r="6" customFormat="false" ht="15" hidden="false" customHeight="false" outlineLevel="0" collapsed="false">
      <c r="A6" s="10" t="s">
        <v>370</v>
      </c>
      <c r="B6" s="10" t="s">
        <v>371</v>
      </c>
      <c r="C6" s="10" t="s">
        <v>372</v>
      </c>
    </row>
    <row r="7" customFormat="false" ht="23.85" hidden="false" customHeight="false" outlineLevel="0" collapsed="false">
      <c r="A7" s="10" t="s">
        <v>373</v>
      </c>
      <c r="B7" s="10" t="s">
        <v>374</v>
      </c>
      <c r="C7" s="10" t="s">
        <v>375</v>
      </c>
    </row>
    <row r="8" customFormat="false" ht="15" hidden="false" customHeight="false" outlineLevel="0" collapsed="false">
      <c r="A8" s="10" t="s">
        <v>376</v>
      </c>
      <c r="B8" s="10" t="s">
        <v>377</v>
      </c>
      <c r="C8" s="10" t="s">
        <v>378</v>
      </c>
    </row>
    <row r="9" customFormat="false" ht="15" hidden="false" customHeight="false" outlineLevel="0" collapsed="false">
      <c r="A9" s="10" t="s">
        <v>379</v>
      </c>
      <c r="B9" s="10" t="s">
        <v>380</v>
      </c>
      <c r="C9" s="10" t="s">
        <v>381</v>
      </c>
    </row>
    <row r="10" customFormat="false" ht="15" hidden="false" customHeight="false" outlineLevel="0" collapsed="false">
      <c r="A10" s="10" t="s">
        <v>382</v>
      </c>
      <c r="B10" s="10" t="s">
        <v>383</v>
      </c>
      <c r="C10" s="10" t="s">
        <v>384</v>
      </c>
    </row>
    <row r="11" customFormat="false" ht="15" hidden="false" customHeight="false" outlineLevel="0" collapsed="false">
      <c r="A11" s="10" t="s">
        <v>385</v>
      </c>
      <c r="B11" s="10" t="s">
        <v>386</v>
      </c>
      <c r="C11" s="10" t="s">
        <v>387</v>
      </c>
    </row>
    <row r="12" customFormat="false" ht="15" hidden="false" customHeight="false" outlineLevel="0" collapsed="false">
      <c r="A12" s="10" t="s">
        <v>388</v>
      </c>
      <c r="B12" s="10" t="s">
        <v>377</v>
      </c>
      <c r="C12" s="10" t="s">
        <v>389</v>
      </c>
    </row>
    <row r="13" customFormat="false" ht="23.85" hidden="false" customHeight="false" outlineLevel="0" collapsed="false">
      <c r="A13" s="10" t="s">
        <v>390</v>
      </c>
      <c r="B13" s="10" t="s">
        <v>391</v>
      </c>
      <c r="C13" s="10" t="s">
        <v>392</v>
      </c>
    </row>
    <row r="14" customFormat="false" ht="23.85" hidden="false" customHeight="false" outlineLevel="0" collapsed="false">
      <c r="A14" s="10" t="s">
        <v>393</v>
      </c>
      <c r="B14" s="10" t="s">
        <v>391</v>
      </c>
      <c r="C14" s="10" t="s">
        <v>394</v>
      </c>
    </row>
    <row r="15" customFormat="false" ht="15" hidden="false" customHeight="false" outlineLevel="0" collapsed="false">
      <c r="A15" s="10" t="s">
        <v>296</v>
      </c>
      <c r="B15" s="10" t="s">
        <v>395</v>
      </c>
      <c r="C15" s="10" t="s">
        <v>396</v>
      </c>
    </row>
    <row r="16" customFormat="false" ht="15" hidden="false" customHeight="false" outlineLevel="0" collapsed="false">
      <c r="A16" s="10" t="s">
        <v>397</v>
      </c>
      <c r="B16" s="10" t="s">
        <v>395</v>
      </c>
      <c r="C16" s="10" t="s">
        <v>398</v>
      </c>
    </row>
    <row r="17" customFormat="false" ht="23.85" hidden="false" customHeight="false" outlineLevel="0" collapsed="false">
      <c r="A17" s="10" t="s">
        <v>399</v>
      </c>
      <c r="B17" s="10" t="s">
        <v>400</v>
      </c>
      <c r="C17" s="10" t="s">
        <v>401</v>
      </c>
    </row>
    <row r="18" customFormat="false" ht="15" hidden="false" customHeight="false" outlineLevel="0" collapsed="false">
      <c r="A18" s="10" t="s">
        <v>402</v>
      </c>
      <c r="B18" s="10" t="s">
        <v>403</v>
      </c>
      <c r="C18" s="10" t="s">
        <v>404</v>
      </c>
    </row>
    <row r="19" customFormat="false" ht="15" hidden="false" customHeight="false" outlineLevel="0" collapsed="false">
      <c r="A19" s="10" t="s">
        <v>405</v>
      </c>
      <c r="B19" s="10" t="s">
        <v>406</v>
      </c>
      <c r="C19" s="10" t="s">
        <v>407</v>
      </c>
    </row>
  </sheetData>
  <autoFilter ref="A4:C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2026-10-14T07:53:32Z</dcterms:created>
  <dc:creator>openpyxl</dc:creator>
  <dc:description/>
  <dc:language>en-US</dc:language>
  <cp:lastModifiedBy/>
  <dcterms:modified xsi:type="dcterms:W3CDTF">2026-10-14T07:53:32Z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