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Kalkulator" sheetId="2" state="visible" r:id="rId4"/>
    <sheet name="Parameter" sheetId="3" state="visible" r:id="rId5"/>
    <sheet name="Database Proye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<sst xmlns="http://schemas.openxmlformats.org/spreadsheetml/2006/main" count="271" uniqueCount="238">
  <si>
    <t xml:space="preserve">PETUNJUK PENGGUNAAN — Kalkulator Amplop Anggaran Interior Toko</t>
  </si>
  <si>
    <t xml:space="preserve">Alat bantu bagi desainer untuk menentukan kisaran anggaran interior yang masuk akal secara bisnis, walaupun data dari klien minim (cukup: kategori usaha, luas, target penjualan per m², masa sewa, lokasi). Tujuannya: menyepakati 'amplop anggaran' SEBELUM mendesain, agar tidak bolak-balik revisi karena budget dipangkas.</t>
  </si>
  <si>
    <t xml:space="preserve">LEGENDA WARNA</t>
  </si>
  <si>
    <t xml:space="preserve">Contoh isian</t>
  </si>
  <si>
    <t xml:space="preserve">KUNING MUDA, teks biru = BOLEH DIISI / DIUBAH (input &amp; parameter).</t>
  </si>
  <si>
    <t xml:space="preserve">ABU-ABU = RUMUS otomatis. Jangan diketik ulang/dihapus.</t>
  </si>
  <si>
    <t xml:space="preserve">Hasil</t>
  </si>
  <si>
    <t xml:space="preserve">BIRU MUDA = HASIL UTAMA yang dibawa ke diskusi dengan klien.</t>
  </si>
  <si>
    <t xml:space="preserve">SEHAT / SESUAI</t>
  </si>
  <si>
    <t xml:space="preserve">Hijau = aman.  Kuning = ketat / pas-pasan.  Merah = berisiko / anggaran tidak cukup.</t>
  </si>
  <si>
    <t xml:space="preserve">ISI SHEET</t>
  </si>
  <si>
    <t xml:space="preserve">Petunjuk</t>
  </si>
  <si>
    <t xml:space="preserve">Halaman ini.</t>
  </si>
  <si>
    <t xml:space="preserve">Kalkulator</t>
  </si>
  <si>
    <t xml:space="preserve">Tempat bekerja. Isi bagian 1, hasil muncul otomatis di bagian 2–6.</t>
  </si>
  <si>
    <t xml:space="preserve">Parameter</t>
  </si>
  <si>
    <t xml:space="preserve">Patokan industri (faktor K, biaya pasar per m², alokasi per elemen, faktor penyesuaian). Boleh diubah jika Anda punya data lebih baik.</t>
  </si>
  <si>
    <t xml:space="preserve">Database Proyek</t>
  </si>
  <si>
    <t xml:space="preserve">Catatan proyek Anda sendiri untuk mengkalibrasi faktor K dari waktu ke waktu.</t>
  </si>
  <si>
    <t xml:space="preserve">LANGKAH PENGGUNAAN</t>
  </si>
  <si>
    <t xml:space="preserve">Langkah 1</t>
  </si>
  <si>
    <t xml:space="preserve">Buka sheet Kalkulator. Isi sel kuning di bagian 1. Sel C6–C15 sudah berisi CONTOH — timpa dengan data proyek Anda.</t>
  </si>
  <si>
    <t xml:space="preserve">Langkah 2</t>
  </si>
  <si>
    <t xml:space="preserve">Kategori usaha, masa sewa, lokasi, kondisi unit, kota, flagship: klik sel, lalu pilih dari panah ▼ (dropdown).</t>
  </si>
  <si>
    <t xml:space="preserve">Langkah 3</t>
  </si>
  <si>
    <t xml:space="preserve">Target penjualan per m² diisi PER BULAN dalam Rupiah penuh (contoh 2500000). Jika klien memberi angka per tahun, bagi 12 terlebih dahulu.</t>
  </si>
  <si>
    <t xml:space="preserve">Langkah 4</t>
  </si>
  <si>
    <t xml:space="preserve">Baca bagian 3 'Amplop Anggaran': tiga tingkat konsep Basic / Standard / Signature, lengkap dengan total &amp; per m².</t>
  </si>
  <si>
    <t xml:space="preserve">Langkah 5</t>
  </si>
  <si>
    <t xml:space="preserve">Baca bagian 4: apakah anggaran yang LAYAK cukup untuk membayar BIAYA PASAR interior di lokasi tersebut. Jika 'TIDAK CUKUP', sederhanakan konsep atau tanyakan ulang target penjualan ke klien.</t>
  </si>
  <si>
    <t xml:space="preserve">Langkah 6</t>
  </si>
  <si>
    <t xml:space="preserve">Baca bagian 5: perkiraan payback. Idealnya SEHAT (≤ 50% masa sewa).</t>
  </si>
  <si>
    <t xml:space="preserve">Langkah 7</t>
  </si>
  <si>
    <t xml:space="preserve">Pakai bagian 6 (alokasi per elemen) sebagai batas anggaran tiap elemen desain. Jika nanti budget dipangkas, potong elemen yang paling kecil dampaknya ke penjualan — bukan merombak semua desain.</t>
  </si>
  <si>
    <t xml:space="preserve">Langkah 8</t>
  </si>
  <si>
    <t xml:space="preserve">Presentasikan amplop anggaran + ruang lingkup 'interior' ke klien dan minta persetujuan tertulis SEBELUM mulai desain.</t>
  </si>
  <si>
    <t xml:space="preserve">CARA KERJA RUMUS (untuk menjelaskan ke klien)</t>
  </si>
  <si>
    <t xml:space="preserve">Rumus inti</t>
  </si>
  <si>
    <t xml:space="preserve">Anggaran interior = Penjualan per tahun × K</t>
  </si>
  <si>
    <t xml:space="preserve">Faktor K</t>
  </si>
  <si>
    <t xml:space="preserve">Persentase penjualan setahun yang wajar dipakai untuk interior. Diturunkan dari: (laba operasional toko % − biaya modal stok %) × target payback × porsi interior dari total capex. Usaha bermargin tinggi (F&amp;B, fashion) punya K besar; bermargin tipis/stok besar (minimarket, big-box) K kecil.</t>
  </si>
  <si>
    <t xml:space="preserve">Faktor masa sewa</t>
  </si>
  <si>
    <t xml:space="preserve">Sewa 5 tahun = patokan (1,00x). Sewa lebih pendek → anggaran harus lebih kecil; lebih panjang → boleh lebih besar.</t>
  </si>
  <si>
    <t xml:space="preserve">Faktor flagship</t>
  </si>
  <si>
    <t xml:space="preserve">Toko flagship boleh +25%, HANYA bila klien setuju selisihnya dianggap biaya branding.</t>
  </si>
  <si>
    <t xml:space="preserve">Cek biaya pasar</t>
  </si>
  <si>
    <t xml:space="preserve">Membandingkan anggaran yang layak (sisi bisnis) dengan biaya pasar per m² (sisi biaya) setelah disesuaikan lokasi, kondisi unit, dan kota.</t>
  </si>
  <si>
    <t xml:space="preserve">Cek payback</t>
  </si>
  <si>
    <t xml:space="preserve">Total capex ≈ anggaran interior ÷ porsi interior. Payback = total capex ÷ laba operasional per tahun. Belum termasuk stok dan masa ramp-up tahun pertama.</t>
  </si>
  <si>
    <t xml:space="preserve">K manual</t>
  </si>
  <si>
    <t xml:space="preserve">Jika Anda sudah punya K hasil kalibrasi (sheet Database Proyek), isi di Kalkulator!C15. Basic = K −15%, Standard = K, Signature = K +15%.</t>
  </si>
  <si>
    <t xml:space="preserve">TIPS MENGHINDARI REVISI</t>
  </si>
  <si>
    <t xml:space="preserve">Sepakati ruang lingkup</t>
  </si>
  <si>
    <t xml:space="preserve">Pastikan klien setuju apa saja yang termasuk 'interior': MEP/AC, rak &amp; gondola, signage, fasad, furnitur lepas? Ketidakjelasan ruang lingkup adalah sumber revisi paling sering.</t>
  </si>
  <si>
    <t xml:space="preserve">Tawarkan 3 tingkat</t>
  </si>
  <si>
    <t xml:space="preserve">Basic / Standard / Signature memberi klien pilihan tanpa Anda harus mendesain ulang dari nol.</t>
  </si>
  <si>
    <t xml:space="preserve">Kunci cadangan</t>
  </si>
  <si>
    <t xml:space="preserve">Jangan hapus baris cadangan (contingency) 5–10%.</t>
  </si>
  <si>
    <t xml:space="preserve">Kalibrasi</t>
  </si>
  <si>
    <t xml:space="preserve">Setiap proyek selesai, catat di Database Proyek. Setelah ±3 proyek per kategori, pakai K Anda sendiri.</t>
  </si>
  <si>
    <t xml:space="preserve">CATATAN PENTING</t>
  </si>
  <si>
    <t xml:space="preserve">• Semua angka di sheet Parameter adalah kisaran indikatif (Jabodetabek, kualitas menengah, ±2025–2026), hasil turunan asumsi industri umum — bukan data resmi atau milik merek tertentu.</t>
  </si>
  <si>
    <t xml:space="preserve">• Gunakan sebagai titik awal diskusi. Validasi dengan penawaran kontraktor dan data aktual klien.</t>
  </si>
  <si>
    <t xml:space="preserve">• Sheet tidak dikunci. Jika ingin melindungi rumus: Review → Protect Sheet (sel kuning sudah bisa dibuka kuncinya terlebih dahulu via Format Cells → Protection → hilangkan centang Locked).</t>
  </si>
  <si>
    <t xml:space="preserve">KALKULATOR AMPLOP ANGGARAN INTERIOR TOKO</t>
  </si>
  <si>
    <t xml:space="preserve">Menentukan kisaran capex interior yang wajar dari: kategori usaha, luas, target penjualan per m², masa sewa, dan lokasi.</t>
  </si>
  <si>
    <t xml:space="preserve">Legenda:</t>
  </si>
  <si>
    <t xml:space="preserve">Boleh diisi / diubah</t>
  </si>
  <si>
    <t xml:space="preserve">Rumus (jangan diubah)</t>
  </si>
  <si>
    <t xml:space="preserve">Hasil utama</t>
  </si>
  <si>
    <t xml:space="preserve">1. DATA PROYEK (isi sel kuning)</t>
  </si>
  <si>
    <t xml:space="preserve">Nama proyek</t>
  </si>
  <si>
    <t xml:space="preserve">Toko Perlengkapan Rumah – Mall Contoh</t>
  </si>
  <si>
    <t xml:space="preserve">Bebas, untuk identitas.</t>
  </si>
  <si>
    <t xml:space="preserve">Kategori usaha</t>
  </si>
  <si>
    <t xml:space="preserve">Perlengkapan rumah &amp; perkakas (big-box)</t>
  </si>
  <si>
    <t xml:space="preserve">Pilih dari daftar (klik sel → panah ▼).</t>
  </si>
  <si>
    <t xml:space="preserve">Luas toko (m²)</t>
  </si>
  <si>
    <t xml:space="preserve">Luas area sewa (net lettable area).</t>
  </si>
  <si>
    <t xml:space="preserve">Target penjualan per m² per bulan (Rp)</t>
  </si>
  <si>
    <t xml:space="preserve">Dari klien. Jika klien memberi per tahun, bagi 12 dulu.</t>
  </si>
  <si>
    <t xml:space="preserve">Masa sewa (tahun)</t>
  </si>
  <si>
    <t xml:space="preserve">Pilih 3 / 5 / 7 / 10.</t>
  </si>
  <si>
    <t xml:space="preserve">Lokasi</t>
  </si>
  <si>
    <t xml:space="preserve">Mall</t>
  </si>
  <si>
    <t xml:space="preserve">Mall / Ruko / Bangunan mandiri.</t>
  </si>
  <si>
    <t xml:space="preserve">Kondisi unit saat serah terima</t>
  </si>
  <si>
    <t xml:space="preserve">Standar serah terima</t>
  </si>
  <si>
    <t xml:space="preserve">Standar / Bare shell / Bekas toko.</t>
  </si>
  <si>
    <t xml:space="preserve">Kota</t>
  </si>
  <si>
    <t xml:space="preserve">Kota besar (Jabodetabek, Surabaya, dll.)</t>
  </si>
  <si>
    <t xml:space="preserve">Kota besar / Kota lapis kedua.</t>
  </si>
  <si>
    <t xml:space="preserve">Toko flagship?</t>
  </si>
  <si>
    <t xml:space="preserve">Tidak</t>
  </si>
  <si>
    <t xml:space="preserve">Ya hanya jika klien setuju kelebihan biaya = biaya branding.</t>
  </si>
  <si>
    <t xml:space="preserve">K manual (opsional, %)</t>
  </si>
  <si>
    <t xml:space="preserve">Kosongkan untuk memakai tabel. Isi jika Anda punya K sendiri (mis. dari sheet Database Proyek).</t>
  </si>
  <si>
    <t xml:space="preserve">2. DASAR PERHITUNGAN (otomatis)</t>
  </si>
  <si>
    <t xml:space="preserve">Penjualan per bulan</t>
  </si>
  <si>
    <t xml:space="preserve">Luas × target penjualan per m².</t>
  </si>
  <si>
    <t xml:space="preserve">Penjualan per tahun</t>
  </si>
  <si>
    <t xml:space="preserve">Dasar perhitungan anggaran.</t>
  </si>
  <si>
    <t xml:space="preserve">K minimum (dari tabel)</t>
  </si>
  <si>
    <t xml:space="preserve">Batas bawah anggaran interior ÷ penjualan setahun.</t>
  </si>
  <si>
    <t xml:space="preserve">K maksimum (dari tabel)</t>
  </si>
  <si>
    <t xml:space="preserve">Batas atas.</t>
  </si>
  <si>
    <t xml:space="preserve">5 thn = 1,00x (patokan).</t>
  </si>
  <si>
    <t xml:space="preserve">Tidak = 1,00x.</t>
  </si>
  <si>
    <t xml:space="preserve">K terpakai — minimum</t>
  </si>
  <si>
    <t xml:space="preserve">Jika K manual diisi: K manual −15%.</t>
  </si>
  <si>
    <t xml:space="preserve">K terpakai — maksimum</t>
  </si>
  <si>
    <t xml:space="preserve">Jika K manual diisi: K manual +15%.</t>
  </si>
  <si>
    <t xml:space="preserve">3. AMPLOP ANGGARAN INTERIOR (yang LAYAK secara bisnis)</t>
  </si>
  <si>
    <t xml:space="preserve">Tingkat konsep</t>
  </si>
  <si>
    <t xml:space="preserve">K</t>
  </si>
  <si>
    <t xml:space="preserve">Anggaran interior total</t>
  </si>
  <si>
    <t xml:space="preserve">Anggaran per m²</t>
  </si>
  <si>
    <t xml:space="preserve">Arahan konsep</t>
  </si>
  <si>
    <t xml:space="preserve">Basic</t>
  </si>
  <si>
    <t xml:space="preserve">Fungsional, material standar, fokus pada fixture &amp; pencahayaan dasar.</t>
  </si>
  <si>
    <t xml:space="preserve">Standard (rekomendasi)</t>
  </si>
  <si>
    <t xml:space="preserve">Seimbang: investasi di area depan, pencahayaan, signage; hemat di area belakang.</t>
  </si>
  <si>
    <t xml:space="preserve">Signature</t>
  </si>
  <si>
    <t xml:space="preserve">Konsep kuat &amp; material lebih baik. Pastikan target penjualan realistis.</t>
  </si>
  <si>
    <t xml:space="preserve">4. CEK KEWAJARAN: apakah anggaran cukup untuk biaya pasar?</t>
  </si>
  <si>
    <t xml:space="preserve">Faktor lokasi</t>
  </si>
  <si>
    <t xml:space="preserve">Mall = 1,00x (patokan).</t>
  </si>
  <si>
    <t xml:space="preserve">Faktor kondisi unit</t>
  </si>
  <si>
    <t xml:space="preserve">Faktor kota</t>
  </si>
  <si>
    <t xml:space="preserve">Biaya pasar interior per m² — min</t>
  </si>
  <si>
    <t xml:space="preserve">Patokan Tabel 1 × semua faktor.</t>
  </si>
  <si>
    <t xml:space="preserve">Biaya pasar interior per m² — maks</t>
  </si>
  <si>
    <t xml:space="preserve">Anggaran Standard per m² (dari bagian 3)</t>
  </si>
  <si>
    <t xml:space="preserve">STATUS</t>
  </si>
  <si>
    <t xml:space="preserve">5. CEK PAYBACK (perkiraan, belum termasuk stok)</t>
  </si>
  <si>
    <t xml:space="preserve">EBITDA toko % (dari tabel)</t>
  </si>
  <si>
    <t xml:space="preserve">Laba operasional toko sebelum penyusutan.</t>
  </si>
  <si>
    <t xml:space="preserve">Porsi interior dari total capex</t>
  </si>
  <si>
    <t xml:space="preserve">Sisanya: peralatan, IT, pra-operasional, dll.</t>
  </si>
  <si>
    <t xml:space="preserve">Perkiraan total capex (tingkat Standard)</t>
  </si>
  <si>
    <t xml:space="preserve">Anggaran interior ÷ porsi interior.</t>
  </si>
  <si>
    <t xml:space="preserve">Laba operasional per tahun</t>
  </si>
  <si>
    <t xml:space="preserve">Penjualan setahun × EBITDA%.</t>
  </si>
  <si>
    <t xml:space="preserve">Payback total capex</t>
  </si>
  <si>
    <t xml:space="preserve">Kondisi toko stabil. Tahun pertama biasanya lebih lambat.</t>
  </si>
  <si>
    <t xml:space="preserve">Batas sehat (50% masa sewa)</t>
  </si>
  <si>
    <t xml:space="preserve">Payback ≤ separuh masa sewa = sehat.</t>
  </si>
  <si>
    <t xml:space="preserve">6. ALOKASI ANGGARAN PER ELEMEN DESAIN</t>
  </si>
  <si>
    <t xml:space="preserve">Elemen</t>
  </si>
  <si>
    <t xml:space="preserve">Porsi %</t>
  </si>
  <si>
    <t xml:space="preserve">Standard</t>
  </si>
  <si>
    <t xml:space="preserve">Arahan desain</t>
  </si>
  <si>
    <t xml:space="preserve">Rak / fixture / furnitur display</t>
  </si>
  <si>
    <t xml:space="preserve">Pakai sistem modular/standar; hemat di area belakang, khusus di area depan &amp; promosi.</t>
  </si>
  <si>
    <t xml:space="preserve">Pencahayaan &amp; listrik</t>
  </si>
  <si>
    <t xml:space="preserve">Elemen paling berpengaruh ke suasana. Prioritaskan kualitas cahaya, bukan jumlah armatur.</t>
  </si>
  <si>
    <t xml:space="preserve">Lantai, dinding, plafon</t>
  </si>
  <si>
    <t xml:space="preserve">Material netral &amp; tahan lama. Plafon exposed di area rak bisa menghemat biaya.</t>
  </si>
  <si>
    <t xml:space="preserve">Fasad, signage &amp; penunjuk arah</t>
  </si>
  <si>
    <t xml:space="preserve">Investasi di sini untuk visibilitas &amp; navigasi, terutama toko besar.</t>
  </si>
  <si>
    <t xml:space="preserve">Zona khusus / area pelanggan</t>
  </si>
  <si>
    <t xml:space="preserve">Kasir, layanan, konsultasi, lounge, area demo/promo. Royal di titik interaksi pelanggan.</t>
  </si>
  <si>
    <t xml:space="preserve">Cadangan (contingency)</t>
  </si>
  <si>
    <t xml:space="preserve">Jangan dihapus. Dipakai untuk biaya tak terduga &amp; perubahan di lapangan.</t>
  </si>
  <si>
    <t xml:space="preserve">TOTAL</t>
  </si>
  <si>
    <t xml:space="preserve">Catatan: semua angka adalah kisaran indikatif untuk perencanaan awal, bukan patokan pasti. Validasi dengan penawaran kontraktor dan kalibrasi dengan data proyek Anda sendiri (sheet Database Proyek).</t>
  </si>
  <si>
    <t xml:space="preserve">PARAMETER INDUSTRI (rule of thumb)</t>
  </si>
  <si>
    <t xml:space="preserve">Sel berwarna kuning boleh diubah sesuai pengalaman/data Anda. Semua angka adalah kisaran indikatif (Jabodetabek, kualitas menengah, ±2025–2026), bukan data resmi.</t>
  </si>
  <si>
    <t xml:space="preserve">TABEL 1 — Faktor K dan patokan biaya per kategori</t>
  </si>
  <si>
    <t xml:space="preserve">K min</t>
  </si>
  <si>
    <t xml:space="preserve">K maks</t>
  </si>
  <si>
    <t xml:space="preserve">EBITDA toko %</t>
  </si>
  <si>
    <t xml:space="preserve">Target payback capex (thn)</t>
  </si>
  <si>
    <t xml:space="preserve">Biaya interior pasar min (Rp/m²)</t>
  </si>
  <si>
    <t xml:space="preserve">Biaya interior pasar maks (Rp/m²)</t>
  </si>
  <si>
    <t xml:space="preserve">Luas tipikal</t>
  </si>
  <si>
    <t xml:space="preserve">Keterangan</t>
  </si>
  <si>
    <t xml:space="preserve">Kafe / resto (F&amp;B)</t>
  </si>
  <si>
    <t xml:space="preserve">80–200 m²</t>
  </si>
  <si>
    <t xml:space="preserve">Dapur &amp; peralatan dihitung terpisah (porsi interior ±60%).</t>
  </si>
  <si>
    <t xml:space="preserve">Fashion / aksesoris</t>
  </si>
  <si>
    <t xml:space="preserve">60–300 m²</t>
  </si>
  <si>
    <t xml:space="preserve">Interior adalah porsi terbesar capex.</t>
  </si>
  <si>
    <t xml:space="preserve">Salon</t>
  </si>
  <si>
    <t xml:space="preserve">60–150 m²</t>
  </si>
  <si>
    <t xml:space="preserve">Klinik kecantikan / kesehatan</t>
  </si>
  <si>
    <t xml:space="preserve">100–250 m²</t>
  </si>
  <si>
    <t xml:space="preserve">Alat medis mahal, porsi interior kecil.</t>
  </si>
  <si>
    <t xml:space="preserve">Furnitur &amp; dekorasi rumah (big-box)</t>
  </si>
  <si>
    <t xml:space="preserve">2.000–8.000 m²</t>
  </si>
  <si>
    <t xml:space="preserve">Showroom = alat jual; stok &amp; display besar.</t>
  </si>
  <si>
    <t xml:space="preserve">1.500–5.000 m²</t>
  </si>
  <si>
    <t xml:space="preserve">Stok sangat besar (puluhan ribu SKU) mengurangi ruang capex.</t>
  </si>
  <si>
    <t xml:space="preserve">Apotek / toko kesehatan</t>
  </si>
  <si>
    <t xml:space="preserve">50–120 m²</t>
  </si>
  <si>
    <t xml:space="preserve">Minimarket / grocery</t>
  </si>
  <si>
    <t xml:space="preserve">Rak/chiller dihitung terpisah dari interior.</t>
  </si>
  <si>
    <t xml:space="preserve">Elektronik / gadget</t>
  </si>
  <si>
    <t xml:space="preserve">20–100 m²</t>
  </si>
  <si>
    <t xml:space="preserve">Stok besar; nilai juga dari perputaran stok.</t>
  </si>
  <si>
    <t xml:space="preserve">K = anggaran interior ÷ penjualan setahun (kondisi toko sudah stabil). K diturunkan dari: (EBITDA% − biaya modal stok%) × target payback × porsi interior.</t>
  </si>
  <si>
    <t xml:space="preserve">TABEL 2 — Alokasi anggaran interior per elemen (% dari total)</t>
  </si>
  <si>
    <t xml:space="preserve">Total (harus 100%)</t>
  </si>
  <si>
    <t xml:space="preserve">TABEL 3 — Faktor masa sewa (mengali anggaran yang LAYAK)</t>
  </si>
  <si>
    <t xml:space="preserve">Pilihan</t>
  </si>
  <si>
    <t xml:space="preserve">Faktor</t>
  </si>
  <si>
    <t xml:space="preserve">Sewa lebih panjang = waktu balik modal lebih panjang = anggaran boleh lebih besar.</t>
  </si>
  <si>
    <t xml:space="preserve">TABEL 4 — Faktor flagship (mengali anggaran yang LAYAK)</t>
  </si>
  <si>
    <t xml:space="preserve">Hanya jika klien setuju kelebihan biaya dianggap biaya branding/promosi.</t>
  </si>
  <si>
    <t xml:space="preserve">Ya</t>
  </si>
  <si>
    <t xml:space="preserve">TABEL 5 — Faktor lokasi (mengali BIAYA PASAR per m²)</t>
  </si>
  <si>
    <t xml:space="preserve">Patokan biaya di Tabel 1 = kondisi mall. Ruko umumnya lebih murah; standalone perlu MEP/fasad lebih banyak.</t>
  </si>
  <si>
    <t xml:space="preserve">Ruko</t>
  </si>
  <si>
    <t xml:space="preserve">Bangunan mandiri (standalone)</t>
  </si>
  <si>
    <t xml:space="preserve">TABEL 6 — Faktor kondisi unit (mengali BIAYA PASAR per m²)</t>
  </si>
  <si>
    <t xml:space="preserve">Bare shell = mulai dari nol; bekas toko = sebagian instalasi bisa dipakai ulang.</t>
  </si>
  <si>
    <t xml:space="preserve">Bare shell (kosong total)</t>
  </si>
  <si>
    <t xml:space="preserve">Bekas toko (sebagian bisa dipakai)</t>
  </si>
  <si>
    <t xml:space="preserve">TABEL 7 — Faktor kota (mengali BIAYA PASAR per m²)</t>
  </si>
  <si>
    <t xml:space="preserve">Upah &amp; material di kota lapis kedua umumnya 10–25% lebih murah.</t>
  </si>
  <si>
    <t xml:space="preserve">Kota lapis kedua</t>
  </si>
  <si>
    <t xml:space="preserve">DATABASE PROYEK — kalibrasi faktor K versi Anda sendiri</t>
  </si>
  <si>
    <t xml:space="preserve">Catat proyek yang sudah selesai &amp; toko yang sudah beroperasi ±1 tahun. Sel kuning diisi; kolom abu dihitung otomatis. Baris 5 adalah CONTOH — hapus/timpa dengan data Anda.</t>
  </si>
  <si>
    <t xml:space="preserve">Tahun</t>
  </si>
  <si>
    <t xml:space="preserve">Luas (m²)</t>
  </si>
  <si>
    <t xml:space="preserve">Penjualan aktual per m² per bulan (Rp)</t>
  </si>
  <si>
    <t xml:space="preserve">Biaya interior aktual (Rp)</t>
  </si>
  <si>
    <t xml:space="preserve">Penjualan per tahun (Rp)</t>
  </si>
  <si>
    <t xml:space="preserve">K aktual</t>
  </si>
  <si>
    <t xml:space="preserve">Biaya interior per m² (Rp)</t>
  </si>
  <si>
    <t xml:space="preserve">Catatan</t>
  </si>
  <si>
    <t xml:space="preserve">Ringkasan per kategori</t>
  </si>
  <si>
    <t xml:space="preserve">Jumlah proyek</t>
  </si>
  <si>
    <t xml:space="preserve">Rata-rata K Anda</t>
  </si>
  <si>
    <t xml:space="preserve">K tabel (tengah)</t>
  </si>
  <si>
    <t xml:space="preserve">CONTOH – Toko Perkakas Kota A</t>
  </si>
  <si>
    <t xml:space="preserve">Contoh fiktif, hapus baris ini.</t>
  </si>
  <si>
    <t xml:space="preserve">Jika sudah ada ≥3 proyek dalam satu kategori, salin "Rata-rata K Anda" ke sel K manual (Kalkulator!C15).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</si>
</sst>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#,##0;\-#,##0;\-"/>
    <numFmt numFmtId="167" formatCode="&quot;Rp &quot;#,##0;&quot;-Rp &quot;#,##0;\-"/>
    <numFmt numFmtId="168" formatCode="0"/>
    <numFmt numFmtId="169" formatCode="0.0%;\-0.0%;\-"/>
    <numFmt numFmtId="170" formatCode="0.00\x"/>
    <numFmt numFmtId="171" formatCode="0.0&quot; thn&quot;"/>
    <numFmt numFmtId="172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C6EFCE"/>
        <bgColor rgb="FFDDEBF7"/>
      </patternFill>
    </fill>
    <fill>
      <patternFill patternType="solid">
        <fgColor rgb="FFD9E1F2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C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19.7" hidden="false" customHeight="true" outlineLevel="0" collapsed="false">
      <c r="B1" s="1" t="s">
        <v>0</v>
      </c>
      <c r="C1" s="1"/>
    </row>
    <row r="2" customFormat="false" ht="45" hidden="false" customHeight="true" outlineLevel="0" collapsed="false">
      <c r="C2" s="2" t="s">
        <v>1</v>
      </c>
    </row>
    <row r="4" customFormat="false" ht="19.5" hidden="false" customHeight="true" outlineLevel="0" collapsed="false">
      <c r="B4" s="3" t="s">
        <v>2</v>
      </c>
      <c r="C4" s="3"/>
    </row>
    <row r="5" customFormat="false" ht="15" hidden="false" customHeight="false" outlineLevel="0" collapsed="false">
      <c r="B5" s="4" t="s">
        <v>3</v>
      </c>
      <c r="C5" s="2" t="s">
        <v>4</v>
      </c>
    </row>
    <row r="6" customFormat="false" ht="15" hidden="false" customHeight="false" outlineLevel="0" collapsed="false">
      <c r="B6" s="5" t="n">
        <f aca="false">1+1</f>
        <v>2</v>
      </c>
      <c r="C6" s="2" t="s">
        <v>5</v>
      </c>
    </row>
    <row r="7" customFormat="false" ht="15" hidden="false" customHeight="false" outlineLevel="0" collapsed="false">
      <c r="B7" s="6" t="s">
        <v>6</v>
      </c>
      <c r="C7" s="2" t="s">
        <v>7</v>
      </c>
    </row>
    <row r="8" customFormat="false" ht="15" hidden="false" customHeight="false" outlineLevel="0" collapsed="false">
      <c r="B8" s="7" t="s">
        <v>8</v>
      </c>
      <c r="C8" s="2" t="s">
        <v>9</v>
      </c>
    </row>
    <row r="10" customFormat="false" ht="19.5" hidden="false" customHeight="true" outlineLevel="0" collapsed="false">
      <c r="B10" s="3" t="s">
        <v>10</v>
      </c>
      <c r="C10" s="3"/>
    </row>
    <row r="11" customFormat="false" ht="15" hidden="false" customHeight="false" outlineLevel="0" collapsed="false">
      <c r="B11" s="8" t="s">
        <v>11</v>
      </c>
      <c r="C11" s="2" t="s">
        <v>12</v>
      </c>
    </row>
    <row r="12" customFormat="false" ht="15" hidden="false" customHeight="false" outlineLevel="0" collapsed="false">
      <c r="B12" s="8" t="s">
        <v>13</v>
      </c>
      <c r="C12" s="2" t="s">
        <v>14</v>
      </c>
    </row>
    <row r="13" customFormat="false" ht="23.85" hidden="false" customHeight="false" outlineLevel="0" collapsed="false">
      <c r="B13" s="8" t="s">
        <v>15</v>
      </c>
      <c r="C13" s="2" t="s">
        <v>16</v>
      </c>
    </row>
    <row r="14" customFormat="false" ht="15" hidden="false" customHeight="false" outlineLevel="0" collapsed="false">
      <c r="B14" s="8" t="s">
        <v>17</v>
      </c>
      <c r="C14" s="2" t="s">
        <v>18</v>
      </c>
    </row>
    <row r="16" customFormat="false" ht="19.5" hidden="false" customHeight="true" outlineLevel="0" collapsed="false">
      <c r="B16" s="3" t="s">
        <v>19</v>
      </c>
      <c r="C16" s="3"/>
    </row>
    <row r="17" customFormat="false" ht="31.5" hidden="false" customHeight="true" outlineLevel="0" collapsed="false">
      <c r="B17" s="8" t="s">
        <v>20</v>
      </c>
      <c r="C17" s="2" t="s">
        <v>21</v>
      </c>
    </row>
    <row r="18" customFormat="false" ht="31.5" hidden="false" customHeight="true" outlineLevel="0" collapsed="false">
      <c r="B18" s="8" t="s">
        <v>22</v>
      </c>
      <c r="C18" s="2" t="s">
        <v>23</v>
      </c>
    </row>
    <row r="19" customFormat="false" ht="31.5" hidden="false" customHeight="true" outlineLevel="0" collapsed="false">
      <c r="B19" s="8" t="s">
        <v>24</v>
      </c>
      <c r="C19" s="2" t="s">
        <v>25</v>
      </c>
    </row>
    <row r="20" customFormat="false" ht="31.5" hidden="false" customHeight="true" outlineLevel="0" collapsed="false">
      <c r="B20" s="8" t="s">
        <v>26</v>
      </c>
      <c r="C20" s="2" t="s">
        <v>27</v>
      </c>
    </row>
    <row r="21" customFormat="false" ht="31.5" hidden="false" customHeight="true" outlineLevel="0" collapsed="false">
      <c r="B21" s="8" t="s">
        <v>28</v>
      </c>
      <c r="C21" s="2" t="s">
        <v>29</v>
      </c>
    </row>
    <row r="22" customFormat="false" ht="31.5" hidden="false" customHeight="true" outlineLevel="0" collapsed="false">
      <c r="B22" s="8" t="s">
        <v>30</v>
      </c>
      <c r="C22" s="2" t="s">
        <v>31</v>
      </c>
    </row>
    <row r="23" customFormat="false" ht="31.5" hidden="false" customHeight="true" outlineLevel="0" collapsed="false">
      <c r="B23" s="8" t="s">
        <v>32</v>
      </c>
      <c r="C23" s="2" t="s">
        <v>33</v>
      </c>
    </row>
    <row r="24" customFormat="false" ht="31.5" hidden="false" customHeight="true" outlineLevel="0" collapsed="false">
      <c r="B24" s="8" t="s">
        <v>34</v>
      </c>
      <c r="C24" s="2" t="s">
        <v>35</v>
      </c>
    </row>
    <row r="26" customFormat="false" ht="19.5" hidden="false" customHeight="true" outlineLevel="0" collapsed="false">
      <c r="B26" s="3" t="s">
        <v>36</v>
      </c>
      <c r="C26" s="3"/>
    </row>
    <row r="27" customFormat="false" ht="45" hidden="false" customHeight="true" outlineLevel="0" collapsed="false">
      <c r="B27" s="8" t="s">
        <v>37</v>
      </c>
      <c r="C27" s="2" t="s">
        <v>38</v>
      </c>
    </row>
    <row r="28" customFormat="false" ht="45" hidden="false" customHeight="true" outlineLevel="0" collapsed="false">
      <c r="B28" s="8" t="s">
        <v>39</v>
      </c>
      <c r="C28" s="2" t="s">
        <v>40</v>
      </c>
    </row>
    <row r="29" customFormat="false" ht="45" hidden="false" customHeight="true" outlineLevel="0" collapsed="false">
      <c r="B29" s="8" t="s">
        <v>41</v>
      </c>
      <c r="C29" s="2" t="s">
        <v>42</v>
      </c>
    </row>
    <row r="30" customFormat="false" ht="45" hidden="false" customHeight="true" outlineLevel="0" collapsed="false">
      <c r="B30" s="8" t="s">
        <v>43</v>
      </c>
      <c r="C30" s="2" t="s">
        <v>44</v>
      </c>
    </row>
    <row r="31" customFormat="false" ht="45" hidden="false" customHeight="true" outlineLevel="0" collapsed="false">
      <c r="B31" s="8" t="s">
        <v>45</v>
      </c>
      <c r="C31" s="2" t="s">
        <v>46</v>
      </c>
    </row>
    <row r="32" customFormat="false" ht="45" hidden="false" customHeight="true" outlineLevel="0" collapsed="false">
      <c r="B32" s="8" t="s">
        <v>47</v>
      </c>
      <c r="C32" s="2" t="s">
        <v>48</v>
      </c>
    </row>
    <row r="33" customFormat="false" ht="45" hidden="false" customHeight="true" outlineLevel="0" collapsed="false">
      <c r="B33" s="8" t="s">
        <v>49</v>
      </c>
      <c r="C33" s="2" t="s">
        <v>50</v>
      </c>
    </row>
    <row r="35" customFormat="false" ht="19.5" hidden="false" customHeight="true" outlineLevel="0" collapsed="false">
      <c r="B35" s="3" t="s">
        <v>51</v>
      </c>
      <c r="C35" s="3"/>
    </row>
    <row r="36" customFormat="false" ht="31.5" hidden="false" customHeight="true" outlineLevel="0" collapsed="false">
      <c r="B36" s="8" t="s">
        <v>52</v>
      </c>
      <c r="C36" s="2" t="s">
        <v>53</v>
      </c>
    </row>
    <row r="37" customFormat="false" ht="31.5" hidden="false" customHeight="true" outlineLevel="0" collapsed="false">
      <c r="B37" s="8" t="s">
        <v>54</v>
      </c>
      <c r="C37" s="2" t="s">
        <v>55</v>
      </c>
    </row>
    <row r="38" customFormat="false" ht="31.5" hidden="false" customHeight="true" outlineLevel="0" collapsed="false">
      <c r="B38" s="8" t="s">
        <v>56</v>
      </c>
      <c r="C38" s="2" t="s">
        <v>57</v>
      </c>
    </row>
    <row r="39" customFormat="false" ht="31.5" hidden="false" customHeight="true" outlineLevel="0" collapsed="false">
      <c r="B39" s="8" t="s">
        <v>58</v>
      </c>
      <c r="C39" s="2" t="s">
        <v>59</v>
      </c>
    </row>
    <row r="41" customFormat="false" ht="19.5" hidden="false" customHeight="true" outlineLevel="0" collapsed="false">
      <c r="B41" s="3" t="s">
        <v>60</v>
      </c>
      <c r="C41" s="3"/>
    </row>
    <row r="42" customFormat="false" ht="30" hidden="false" customHeight="true" outlineLevel="0" collapsed="false">
      <c r="C42" s="2" t="s">
        <v>61</v>
      </c>
    </row>
    <row r="43" customFormat="false" ht="18" hidden="false" customHeight="true" outlineLevel="0" collapsed="false">
      <c r="C43" s="2" t="s">
        <v>62</v>
      </c>
    </row>
    <row r="44" customFormat="false" ht="30" hidden="false" customHeight="true" outlineLevel="0" collapsed="false">
      <c r="C44" s="2" t="s">
        <v>63</v>
      </c>
    </row>
  </sheetData>
  <mergeCells count="7">
    <mergeCell ref="B1:C1"/>
    <mergeCell ref="B4:C4"/>
    <mergeCell ref="B10:C10"/>
    <mergeCell ref="B16:C16"/>
    <mergeCell ref="B26:C26"/>
    <mergeCell ref="B35:C35"/>
    <mergeCell ref="B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G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6" min="4" style="0" width="22"/>
    <col collapsed="false" customWidth="true" hidden="false" outlineLevel="0" max="7" min="7" style="0" width="60"/>
  </cols>
  <sheetData>
    <row r="1" customFormat="false" ht="19.7" hidden="false" customHeight="false" outlineLevel="0" collapsed="false">
      <c r="B1" s="9" t="s">
        <v>64</v>
      </c>
    </row>
    <row r="2" customFormat="false" ht="15" hidden="false" customHeight="false" outlineLevel="0" collapsed="false">
      <c r="B2" s="10" t="s">
        <v>65</v>
      </c>
      <c r="C2" s="10"/>
      <c r="D2" s="10"/>
      <c r="E2" s="10"/>
      <c r="F2" s="10"/>
      <c r="G2" s="10"/>
    </row>
    <row r="3" customFormat="false" ht="15" hidden="false" customHeight="false" outlineLevel="0" collapsed="false">
      <c r="B3" s="11" t="s">
        <v>66</v>
      </c>
      <c r="C3" s="12" t="s">
        <v>67</v>
      </c>
      <c r="D3" s="13" t="s">
        <v>68</v>
      </c>
      <c r="E3" s="14" t="s">
        <v>69</v>
      </c>
    </row>
    <row r="5" customFormat="false" ht="19.5" hidden="false" customHeight="true" outlineLevel="0" collapsed="false">
      <c r="B5" s="3" t="s">
        <v>70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15" t="s">
        <v>71</v>
      </c>
      <c r="C6" s="4" t="s">
        <v>72</v>
      </c>
      <c r="D6" s="10" t="s">
        <v>73</v>
      </c>
      <c r="E6" s="10"/>
      <c r="F6" s="10"/>
      <c r="G6" s="10"/>
    </row>
    <row r="7" customFormat="false" ht="15" hidden="false" customHeight="false" outlineLevel="0" collapsed="false">
      <c r="B7" s="15" t="s">
        <v>74</v>
      </c>
      <c r="C7" s="4" t="s">
        <v>75</v>
      </c>
      <c r="D7" s="10" t="s">
        <v>76</v>
      </c>
      <c r="E7" s="10"/>
      <c r="F7" s="10"/>
      <c r="G7" s="10"/>
    </row>
    <row r="8" customFormat="false" ht="15" hidden="false" customHeight="false" outlineLevel="0" collapsed="false">
      <c r="B8" s="15" t="s">
        <v>77</v>
      </c>
      <c r="C8" s="16" t="n">
        <v>3000</v>
      </c>
      <c r="D8" s="10" t="s">
        <v>78</v>
      </c>
      <c r="E8" s="10"/>
      <c r="F8" s="10"/>
      <c r="G8" s="10"/>
    </row>
    <row r="9" customFormat="false" ht="15" hidden="false" customHeight="false" outlineLevel="0" collapsed="false">
      <c r="B9" s="15" t="s">
        <v>79</v>
      </c>
      <c r="C9" s="17" t="n">
        <v>2500000</v>
      </c>
      <c r="D9" s="10" t="s">
        <v>80</v>
      </c>
      <c r="E9" s="10"/>
      <c r="F9" s="10"/>
      <c r="G9" s="10"/>
    </row>
    <row r="10" customFormat="false" ht="15" hidden="false" customHeight="false" outlineLevel="0" collapsed="false">
      <c r="B10" s="15" t="s">
        <v>81</v>
      </c>
      <c r="C10" s="18" t="n">
        <v>5</v>
      </c>
      <c r="D10" s="10" t="s">
        <v>82</v>
      </c>
      <c r="E10" s="10"/>
      <c r="F10" s="10"/>
      <c r="G10" s="10"/>
    </row>
    <row r="11" customFormat="false" ht="15" hidden="false" customHeight="false" outlineLevel="0" collapsed="false">
      <c r="B11" s="15" t="s">
        <v>83</v>
      </c>
      <c r="C11" s="4" t="s">
        <v>84</v>
      </c>
      <c r="D11" s="10" t="s">
        <v>85</v>
      </c>
      <c r="E11" s="10"/>
      <c r="F11" s="10"/>
      <c r="G11" s="10"/>
    </row>
    <row r="12" customFormat="false" ht="15" hidden="false" customHeight="false" outlineLevel="0" collapsed="false">
      <c r="B12" s="15" t="s">
        <v>86</v>
      </c>
      <c r="C12" s="4" t="s">
        <v>87</v>
      </c>
      <c r="D12" s="10" t="s">
        <v>88</v>
      </c>
      <c r="E12" s="10"/>
      <c r="F12" s="10"/>
      <c r="G12" s="10"/>
    </row>
    <row r="13" customFormat="false" ht="15" hidden="false" customHeight="false" outlineLevel="0" collapsed="false">
      <c r="B13" s="15" t="s">
        <v>89</v>
      </c>
      <c r="C13" s="4" t="s">
        <v>90</v>
      </c>
      <c r="D13" s="10" t="s">
        <v>91</v>
      </c>
      <c r="E13" s="10"/>
      <c r="F13" s="10"/>
      <c r="G13" s="10"/>
    </row>
    <row r="14" customFormat="false" ht="15" hidden="false" customHeight="false" outlineLevel="0" collapsed="false">
      <c r="B14" s="15" t="s">
        <v>92</v>
      </c>
      <c r="C14" s="4" t="s">
        <v>93</v>
      </c>
      <c r="D14" s="10" t="s">
        <v>94</v>
      </c>
      <c r="E14" s="10"/>
      <c r="F14" s="10"/>
      <c r="G14" s="10"/>
    </row>
    <row r="15" customFormat="false" ht="15" hidden="false" customHeight="false" outlineLevel="0" collapsed="false">
      <c r="B15" s="15" t="s">
        <v>95</v>
      </c>
      <c r="C15" s="19"/>
      <c r="D15" s="10" t="s">
        <v>96</v>
      </c>
      <c r="E15" s="10"/>
      <c r="F15" s="10"/>
      <c r="G15" s="10"/>
    </row>
    <row r="17" customFormat="false" ht="19.5" hidden="false" customHeight="true" outlineLevel="0" collapsed="false">
      <c r="B17" s="3" t="s">
        <v>97</v>
      </c>
      <c r="C17" s="3"/>
      <c r="D17" s="3"/>
      <c r="E17" s="3"/>
      <c r="F17" s="3"/>
      <c r="G17" s="3"/>
    </row>
    <row r="18" customFormat="false" ht="15" hidden="false" customHeight="false" outlineLevel="0" collapsed="false">
      <c r="B18" s="15" t="s">
        <v>98</v>
      </c>
      <c r="C18" s="20" t="n">
        <f aca="false">C8*C9</f>
        <v>7500000000</v>
      </c>
      <c r="D18" s="10" t="s">
        <v>99</v>
      </c>
      <c r="E18" s="10"/>
      <c r="F18" s="10"/>
      <c r="G18" s="10"/>
    </row>
    <row r="19" customFormat="false" ht="15" hidden="false" customHeight="false" outlineLevel="0" collapsed="false">
      <c r="B19" s="15" t="s">
        <v>100</v>
      </c>
      <c r="C19" s="20" t="n">
        <f aca="false">C18*12</f>
        <v>90000000000</v>
      </c>
      <c r="D19" s="10" t="s">
        <v>101</v>
      </c>
      <c r="E19" s="10"/>
      <c r="F19" s="10"/>
      <c r="G19" s="10"/>
    </row>
    <row r="20" customFormat="false" ht="15" hidden="false" customHeight="false" outlineLevel="0" collapsed="false">
      <c r="B20" s="15" t="s">
        <v>102</v>
      </c>
      <c r="C20" s="21" t="n">
        <f aca="false">INDEX(Parameter!$B$6:$B$14,MATCH($C$7,Parameter!$A$6:$A$14,0))</f>
        <v>0.09</v>
      </c>
      <c r="D20" s="10" t="s">
        <v>103</v>
      </c>
      <c r="E20" s="10"/>
      <c r="F20" s="10"/>
      <c r="G20" s="10"/>
    </row>
    <row r="21" customFormat="false" ht="15" hidden="false" customHeight="false" outlineLevel="0" collapsed="false">
      <c r="B21" s="15" t="s">
        <v>104</v>
      </c>
      <c r="C21" s="21" t="n">
        <f aca="false">INDEX(Parameter!$C$6:$C$14,MATCH($C$7,Parameter!$A$6:$A$14,0))</f>
        <v>0.13</v>
      </c>
      <c r="D21" s="10" t="s">
        <v>105</v>
      </c>
      <c r="E21" s="10"/>
      <c r="F21" s="10"/>
      <c r="G21" s="10"/>
    </row>
    <row r="22" customFormat="false" ht="15" hidden="false" customHeight="false" outlineLevel="0" collapsed="false">
      <c r="B22" s="15" t="s">
        <v>41</v>
      </c>
      <c r="C22" s="22" t="n">
        <f aca="false">INDEX(Parameter!$B$33:$B$36,MATCH($C$10,Parameter!$A$33:$A$36,0))</f>
        <v>1</v>
      </c>
      <c r="D22" s="10" t="s">
        <v>106</v>
      </c>
      <c r="E22" s="10"/>
      <c r="F22" s="10"/>
      <c r="G22" s="10"/>
    </row>
    <row r="23" customFormat="false" ht="15" hidden="false" customHeight="false" outlineLevel="0" collapsed="false">
      <c r="B23" s="15" t="s">
        <v>43</v>
      </c>
      <c r="C23" s="22" t="n">
        <f aca="false">INDEX(Parameter!$B$40:$B$41,MATCH($C$14,Parameter!$A$40:$A$41,0))</f>
        <v>1</v>
      </c>
      <c r="D23" s="10" t="s">
        <v>107</v>
      </c>
      <c r="E23" s="10"/>
      <c r="F23" s="10"/>
      <c r="G23" s="10"/>
    </row>
    <row r="24" customFormat="false" ht="15" hidden="false" customHeight="false" outlineLevel="0" collapsed="false">
      <c r="B24" s="15" t="s">
        <v>108</v>
      </c>
      <c r="C24" s="21" t="n">
        <f aca="false">IF($C$15="",C20,$C$15*0.85)*C22*C23</f>
        <v>0.09</v>
      </c>
      <c r="D24" s="10" t="s">
        <v>109</v>
      </c>
      <c r="E24" s="10"/>
      <c r="F24" s="10"/>
      <c r="G24" s="10"/>
    </row>
    <row r="25" customFormat="false" ht="15" hidden="false" customHeight="false" outlineLevel="0" collapsed="false">
      <c r="B25" s="15" t="s">
        <v>110</v>
      </c>
      <c r="C25" s="21" t="n">
        <f aca="false">IF($C$15="",C21,$C$15*1.15)*C22*C23</f>
        <v>0.13</v>
      </c>
      <c r="D25" s="10" t="s">
        <v>111</v>
      </c>
      <c r="E25" s="10"/>
      <c r="F25" s="10"/>
      <c r="G25" s="10"/>
    </row>
    <row r="27" customFormat="false" ht="19.5" hidden="false" customHeight="true" outlineLevel="0" collapsed="false">
      <c r="B27" s="3" t="s">
        <v>112</v>
      </c>
      <c r="C27" s="3"/>
      <c r="D27" s="3"/>
      <c r="E27" s="3"/>
      <c r="F27" s="3"/>
      <c r="G27" s="3"/>
    </row>
    <row r="28" customFormat="false" ht="15" hidden="false" customHeight="false" outlineLevel="0" collapsed="false">
      <c r="B28" s="23" t="s">
        <v>113</v>
      </c>
      <c r="C28" s="23" t="s">
        <v>114</v>
      </c>
      <c r="D28" s="23" t="s">
        <v>115</v>
      </c>
      <c r="E28" s="23" t="s">
        <v>116</v>
      </c>
      <c r="F28" s="23" t="s">
        <v>117</v>
      </c>
      <c r="G28" s="23"/>
    </row>
    <row r="29" customFormat="false" ht="30" hidden="false" customHeight="true" outlineLevel="0" collapsed="false">
      <c r="B29" s="24" t="s">
        <v>118</v>
      </c>
      <c r="C29" s="21" t="n">
        <f aca="false">C24</f>
        <v>0.09</v>
      </c>
      <c r="D29" s="25" t="n">
        <f aca="false">$C$19*C29</f>
        <v>8100000000</v>
      </c>
      <c r="E29" s="25" t="n">
        <f aca="false">IF($C$8&gt;0,D29/$C$8,0)</f>
        <v>2700000</v>
      </c>
      <c r="F29" s="26" t="s">
        <v>119</v>
      </c>
      <c r="G29" s="26"/>
    </row>
    <row r="30" customFormat="false" ht="30" hidden="false" customHeight="true" outlineLevel="0" collapsed="false">
      <c r="B30" s="24" t="s">
        <v>120</v>
      </c>
      <c r="C30" s="21" t="n">
        <f aca="false">AVERAGE(C24,C25)</f>
        <v>0.11</v>
      </c>
      <c r="D30" s="25" t="n">
        <f aca="false">$C$19*C30</f>
        <v>9900000000</v>
      </c>
      <c r="E30" s="25" t="n">
        <f aca="false">IF($C$8&gt;0,D30/$C$8,0)</f>
        <v>3300000</v>
      </c>
      <c r="F30" s="26" t="s">
        <v>121</v>
      </c>
      <c r="G30" s="26"/>
    </row>
    <row r="31" customFormat="false" ht="30" hidden="false" customHeight="true" outlineLevel="0" collapsed="false">
      <c r="B31" s="24" t="s">
        <v>122</v>
      </c>
      <c r="C31" s="21" t="n">
        <f aca="false">C25</f>
        <v>0.13</v>
      </c>
      <c r="D31" s="25" t="n">
        <f aca="false">$C$19*C31</f>
        <v>11700000000</v>
      </c>
      <c r="E31" s="25" t="n">
        <f aca="false">IF($C$8&gt;0,D31/$C$8,0)</f>
        <v>3900000</v>
      </c>
      <c r="F31" s="26" t="s">
        <v>123</v>
      </c>
      <c r="G31" s="26"/>
    </row>
    <row r="33" customFormat="false" ht="19.5" hidden="false" customHeight="true" outlineLevel="0" collapsed="false">
      <c r="B33" s="3" t="s">
        <v>124</v>
      </c>
      <c r="C33" s="3"/>
      <c r="D33" s="3"/>
      <c r="E33" s="3"/>
      <c r="F33" s="3"/>
      <c r="G33" s="3"/>
    </row>
    <row r="34" customFormat="false" ht="15" hidden="false" customHeight="false" outlineLevel="0" collapsed="false">
      <c r="B34" s="15" t="s">
        <v>125</v>
      </c>
      <c r="C34" s="22" t="n">
        <f aca="false">INDEX(Parameter!$B$45:$B$47,MATCH($C$11,Parameter!$A$45:$A$47,0))</f>
        <v>1</v>
      </c>
      <c r="D34" s="10" t="s">
        <v>126</v>
      </c>
      <c r="E34" s="10"/>
      <c r="F34" s="10"/>
      <c r="G34" s="10"/>
    </row>
    <row r="35" customFormat="false" ht="15" hidden="false" customHeight="false" outlineLevel="0" collapsed="false">
      <c r="B35" s="15" t="s">
        <v>127</v>
      </c>
      <c r="C35" s="22" t="n">
        <f aca="false">INDEX(Parameter!$B$51:$B$53,MATCH($C$12,Parameter!$A$51:$A$53,0))</f>
        <v>1</v>
      </c>
      <c r="D35" s="10"/>
      <c r="E35" s="10"/>
      <c r="F35" s="10"/>
      <c r="G35" s="10"/>
    </row>
    <row r="36" customFormat="false" ht="15" hidden="false" customHeight="false" outlineLevel="0" collapsed="false">
      <c r="B36" s="15" t="s">
        <v>128</v>
      </c>
      <c r="C36" s="22" t="n">
        <f aca="false">INDEX(Parameter!$B$57:$B$58,MATCH($C$13,Parameter!$A$57:$A$58,0))</f>
        <v>1</v>
      </c>
      <c r="D36" s="10"/>
      <c r="E36" s="10"/>
      <c r="F36" s="10"/>
      <c r="G36" s="10"/>
    </row>
    <row r="37" customFormat="false" ht="15" hidden="false" customHeight="false" outlineLevel="0" collapsed="false">
      <c r="B37" s="15" t="s">
        <v>129</v>
      </c>
      <c r="C37" s="20" t="n">
        <f aca="false">INDEX(Parameter!$G$6:$G$14,MATCH($C$7,Parameter!$A$6:$A$14,0))*C34*C35*C36</f>
        <v>2000000</v>
      </c>
      <c r="D37" s="10" t="s">
        <v>130</v>
      </c>
      <c r="E37" s="10"/>
      <c r="F37" s="10"/>
      <c r="G37" s="10"/>
    </row>
    <row r="38" customFormat="false" ht="15" hidden="false" customHeight="false" outlineLevel="0" collapsed="false">
      <c r="B38" s="15" t="s">
        <v>131</v>
      </c>
      <c r="C38" s="20" t="n">
        <f aca="false">INDEX(Parameter!$H$6:$H$14,MATCH($C$7,Parameter!$A$6:$A$14,0))*C34*C35*C36</f>
        <v>4000000</v>
      </c>
      <c r="D38" s="10"/>
      <c r="E38" s="10"/>
      <c r="F38" s="10"/>
      <c r="G38" s="10"/>
    </row>
    <row r="39" customFormat="false" ht="15" hidden="false" customHeight="false" outlineLevel="0" collapsed="false">
      <c r="B39" s="15" t="s">
        <v>132</v>
      </c>
      <c r="C39" s="20" t="n">
        <f aca="false">E30</f>
        <v>3300000</v>
      </c>
      <c r="D39" s="10"/>
      <c r="E39" s="10"/>
      <c r="F39" s="10"/>
      <c r="G39" s="10"/>
    </row>
    <row r="40" customFormat="false" ht="30" hidden="false" customHeight="true" outlineLevel="0" collapsed="false">
      <c r="B40" s="24" t="s">
        <v>133</v>
      </c>
      <c r="C40" s="27" t="str">
        <f aca="false">IF(C39&gt;=C38,"LONGGAR — anggaran di atas biaya pasar. Ruang untuk konsep lebih kuat / material lebih baik.",IF(C39&gt;=C37,"SESUAI — anggaran berada di kisaran biaya pasar. Desain kualitas menengah aman.","TIDAK CUKUP — anggaran di bawah biaya pasar. Sederhanakan spesifikasi, kurangi area yang didesain, atau cek ulang target penjualan."))</f>
        <v>SESUAI — anggaran berada di kisaran biaya pasar. Desain kualitas menengah aman.</v>
      </c>
      <c r="D40" s="27"/>
      <c r="E40" s="27"/>
      <c r="F40" s="27"/>
      <c r="G40" s="27"/>
    </row>
    <row r="42" customFormat="false" ht="19.5" hidden="false" customHeight="true" outlineLevel="0" collapsed="false">
      <c r="B42" s="3" t="s">
        <v>134</v>
      </c>
      <c r="C42" s="3"/>
      <c r="D42" s="3"/>
      <c r="E42" s="3"/>
      <c r="F42" s="3"/>
      <c r="G42" s="3"/>
    </row>
    <row r="43" customFormat="false" ht="15" hidden="false" customHeight="false" outlineLevel="0" collapsed="false">
      <c r="B43" s="15" t="s">
        <v>135</v>
      </c>
      <c r="C43" s="21" t="n">
        <f aca="false">INDEX(Parameter!$D$6:$D$14,MATCH($C$7,Parameter!$A$6:$A$14,0))</f>
        <v>0.1</v>
      </c>
      <c r="D43" s="10" t="s">
        <v>136</v>
      </c>
      <c r="E43" s="10"/>
      <c r="F43" s="10"/>
      <c r="G43" s="10"/>
    </row>
    <row r="44" customFormat="false" ht="15" hidden="false" customHeight="false" outlineLevel="0" collapsed="false">
      <c r="B44" s="15" t="s">
        <v>137</v>
      </c>
      <c r="C44" s="21" t="n">
        <f aca="false">INDEX(Parameter!$E$6:$E$14,MATCH($C$7,Parameter!$A$6:$A$14,0))</f>
        <v>0.65</v>
      </c>
      <c r="D44" s="10" t="s">
        <v>138</v>
      </c>
      <c r="E44" s="10"/>
      <c r="F44" s="10"/>
      <c r="G44" s="10"/>
    </row>
    <row r="45" customFormat="false" ht="15" hidden="false" customHeight="false" outlineLevel="0" collapsed="false">
      <c r="B45" s="15" t="s">
        <v>139</v>
      </c>
      <c r="C45" s="20" t="n">
        <f aca="false">IF(C44&gt;0,D30/C44,0)</f>
        <v>15230769230.7692</v>
      </c>
      <c r="D45" s="10" t="s">
        <v>140</v>
      </c>
      <c r="E45" s="10"/>
      <c r="F45" s="10"/>
      <c r="G45" s="10"/>
    </row>
    <row r="46" customFormat="false" ht="15" hidden="false" customHeight="false" outlineLevel="0" collapsed="false">
      <c r="B46" s="15" t="s">
        <v>141</v>
      </c>
      <c r="C46" s="20" t="n">
        <f aca="false">C19*C43</f>
        <v>9000000000</v>
      </c>
      <c r="D46" s="10" t="s">
        <v>142</v>
      </c>
      <c r="E46" s="10"/>
      <c r="F46" s="10"/>
      <c r="G46" s="10"/>
    </row>
    <row r="47" customFormat="false" ht="15" hidden="false" customHeight="false" outlineLevel="0" collapsed="false">
      <c r="B47" s="15" t="s">
        <v>143</v>
      </c>
      <c r="C47" s="28" t="n">
        <f aca="false">IF(C46&gt;0,C45/C46,0)</f>
        <v>1.69230769230769</v>
      </c>
      <c r="D47" s="10" t="s">
        <v>144</v>
      </c>
      <c r="E47" s="10"/>
      <c r="F47" s="10"/>
      <c r="G47" s="10"/>
    </row>
    <row r="48" customFormat="false" ht="15" hidden="false" customHeight="false" outlineLevel="0" collapsed="false">
      <c r="B48" s="15" t="s">
        <v>145</v>
      </c>
      <c r="C48" s="29" t="n">
        <f aca="false">C10*0.5</f>
        <v>2.5</v>
      </c>
      <c r="D48" s="10" t="s">
        <v>146</v>
      </c>
      <c r="E48" s="10"/>
      <c r="F48" s="10"/>
      <c r="G48" s="10"/>
    </row>
    <row r="49" customFormat="false" ht="15" hidden="false" customHeight="false" outlineLevel="0" collapsed="false">
      <c r="B49" s="24" t="s">
        <v>133</v>
      </c>
      <c r="C49" s="30" t="str">
        <f aca="false">IF(C46&lt;=0,"Isi data proyek terlebih dahulu.",IF(C47&lt;=C48,"SEHAT — payback ≤ 50% masa sewa.",IF(C47&lt;=C10*0.7,"KETAT — payback 50–70% masa sewa. Pertimbangkan tingkat Basic/Standard.","BERISIKO — payback &gt; 70% masa sewa. Turunkan anggaran atau negosiasikan sewa lebih panjang.")))</f>
        <v>SEHAT — payback ≤ 50% masa sewa.</v>
      </c>
      <c r="D49" s="30"/>
      <c r="E49" s="30"/>
      <c r="F49" s="30"/>
      <c r="G49" s="30"/>
    </row>
    <row r="51" customFormat="false" ht="19.5" hidden="false" customHeight="true" outlineLevel="0" collapsed="false">
      <c r="B51" s="3" t="s">
        <v>147</v>
      </c>
      <c r="C51" s="3"/>
      <c r="D51" s="3"/>
      <c r="E51" s="3"/>
      <c r="F51" s="3"/>
      <c r="G51" s="3"/>
    </row>
    <row r="52" customFormat="false" ht="15" hidden="false" customHeight="false" outlineLevel="0" collapsed="false">
      <c r="B52" s="23" t="s">
        <v>148</v>
      </c>
      <c r="C52" s="23" t="s">
        <v>149</v>
      </c>
      <c r="D52" s="23" t="s">
        <v>118</v>
      </c>
      <c r="E52" s="23" t="s">
        <v>150</v>
      </c>
      <c r="F52" s="23" t="s">
        <v>122</v>
      </c>
      <c r="G52" s="23" t="s">
        <v>151</v>
      </c>
    </row>
    <row r="53" customFormat="false" ht="30" hidden="false" customHeight="true" outlineLevel="0" collapsed="false">
      <c r="B53" s="15" t="s">
        <v>152</v>
      </c>
      <c r="C53" s="21" t="n">
        <f aca="false">INDEX(Parameter!$B$20:$B$28,MATCH($C$7,Parameter!$A$6:$A$14,0))</f>
        <v>0.4</v>
      </c>
      <c r="D53" s="20" t="n">
        <f aca="false">$D$29*C53</f>
        <v>3240000000</v>
      </c>
      <c r="E53" s="31" t="n">
        <f aca="false">$D$30*C53</f>
        <v>3960000000</v>
      </c>
      <c r="F53" s="20" t="n">
        <f aca="false">$D$31*C53</f>
        <v>4680000000</v>
      </c>
      <c r="G53" s="32" t="s">
        <v>153</v>
      </c>
    </row>
    <row r="54" customFormat="false" ht="30" hidden="false" customHeight="true" outlineLevel="0" collapsed="false">
      <c r="B54" s="15" t="s">
        <v>154</v>
      </c>
      <c r="C54" s="21" t="n">
        <f aca="false">INDEX(Parameter!$C$20:$C$28,MATCH($C$7,Parameter!$A$6:$A$14,0))</f>
        <v>0.17</v>
      </c>
      <c r="D54" s="20" t="n">
        <f aca="false">$D$29*C54</f>
        <v>1377000000</v>
      </c>
      <c r="E54" s="31" t="n">
        <f aca="false">$D$30*C54</f>
        <v>1683000000</v>
      </c>
      <c r="F54" s="20" t="n">
        <f aca="false">$D$31*C54</f>
        <v>1989000000</v>
      </c>
      <c r="G54" s="32" t="s">
        <v>155</v>
      </c>
    </row>
    <row r="55" customFormat="false" ht="30" hidden="false" customHeight="true" outlineLevel="0" collapsed="false">
      <c r="B55" s="15" t="s">
        <v>156</v>
      </c>
      <c r="C55" s="21" t="n">
        <f aca="false">INDEX(Parameter!$D$20:$D$28,MATCH($C$7,Parameter!$A$6:$A$14,0))</f>
        <v>0.17</v>
      </c>
      <c r="D55" s="20" t="n">
        <f aca="false">$D$29*C55</f>
        <v>1377000000</v>
      </c>
      <c r="E55" s="31" t="n">
        <f aca="false">$D$30*C55</f>
        <v>1683000000</v>
      </c>
      <c r="F55" s="20" t="n">
        <f aca="false">$D$31*C55</f>
        <v>1989000000</v>
      </c>
      <c r="G55" s="32" t="s">
        <v>157</v>
      </c>
    </row>
    <row r="56" customFormat="false" ht="30" hidden="false" customHeight="true" outlineLevel="0" collapsed="false">
      <c r="B56" s="15" t="s">
        <v>158</v>
      </c>
      <c r="C56" s="21" t="n">
        <f aca="false">INDEX(Parameter!$E$20:$E$28,MATCH($C$7,Parameter!$A$6:$A$14,0))</f>
        <v>0.1</v>
      </c>
      <c r="D56" s="20" t="n">
        <f aca="false">$D$29*C56</f>
        <v>810000000</v>
      </c>
      <c r="E56" s="31" t="n">
        <f aca="false">$D$30*C56</f>
        <v>990000000</v>
      </c>
      <c r="F56" s="20" t="n">
        <f aca="false">$D$31*C56</f>
        <v>1170000000</v>
      </c>
      <c r="G56" s="32" t="s">
        <v>159</v>
      </c>
    </row>
    <row r="57" customFormat="false" ht="30" hidden="false" customHeight="true" outlineLevel="0" collapsed="false">
      <c r="B57" s="15" t="s">
        <v>160</v>
      </c>
      <c r="C57" s="21" t="n">
        <f aca="false">INDEX(Parameter!$F$20:$F$28,MATCH($C$7,Parameter!$A$6:$A$14,0))</f>
        <v>0.09</v>
      </c>
      <c r="D57" s="20" t="n">
        <f aca="false">$D$29*C57</f>
        <v>729000000</v>
      </c>
      <c r="E57" s="31" t="n">
        <f aca="false">$D$30*C57</f>
        <v>891000000</v>
      </c>
      <c r="F57" s="20" t="n">
        <f aca="false">$D$31*C57</f>
        <v>1053000000</v>
      </c>
      <c r="G57" s="32" t="s">
        <v>161</v>
      </c>
    </row>
    <row r="58" customFormat="false" ht="30" hidden="false" customHeight="true" outlineLevel="0" collapsed="false">
      <c r="B58" s="15" t="s">
        <v>162</v>
      </c>
      <c r="C58" s="21" t="n">
        <f aca="false">INDEX(Parameter!$G$20:$G$28,MATCH($C$7,Parameter!$A$6:$A$14,0))</f>
        <v>0.07</v>
      </c>
      <c r="D58" s="20" t="n">
        <f aca="false">$D$29*C58</f>
        <v>567000000</v>
      </c>
      <c r="E58" s="31" t="n">
        <f aca="false">$D$30*C58</f>
        <v>693000000</v>
      </c>
      <c r="F58" s="20" t="n">
        <f aca="false">$D$31*C58</f>
        <v>819000000</v>
      </c>
      <c r="G58" s="32" t="s">
        <v>163</v>
      </c>
    </row>
    <row r="59" customFormat="false" ht="15" hidden="false" customHeight="false" outlineLevel="0" collapsed="false">
      <c r="B59" s="24" t="s">
        <v>164</v>
      </c>
      <c r="C59" s="33" t="n">
        <f aca="false">SUM(C53:C58)</f>
        <v>1</v>
      </c>
      <c r="D59" s="34" t="n">
        <f aca="false">SUM(D53:D58)</f>
        <v>8100000000</v>
      </c>
      <c r="E59" s="34" t="n">
        <f aca="false">SUM(E53:E58)</f>
        <v>9900000000</v>
      </c>
      <c r="F59" s="34" t="n">
        <f aca="false">SUM(F53:F58)</f>
        <v>11700000000</v>
      </c>
    </row>
    <row r="61" customFormat="false" ht="30" hidden="false" customHeight="true" outlineLevel="0" collapsed="false">
      <c r="B61" s="26" t="s">
        <v>165</v>
      </c>
      <c r="C61" s="26"/>
      <c r="D61" s="26"/>
      <c r="E61" s="26"/>
      <c r="F61" s="26"/>
      <c r="G61" s="26"/>
    </row>
  </sheetData>
  <mergeCells count="44">
    <mergeCell ref="B2:G2"/>
    <mergeCell ref="B5:G5"/>
    <mergeCell ref="D6:G6"/>
    <mergeCell ref="D7:G7"/>
    <mergeCell ref="D8:G8"/>
    <mergeCell ref="D9:G9"/>
    <mergeCell ref="D10:G10"/>
    <mergeCell ref="D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D22:G22"/>
    <mergeCell ref="D23:G23"/>
    <mergeCell ref="D24:G24"/>
    <mergeCell ref="D25:G25"/>
    <mergeCell ref="B27:G27"/>
    <mergeCell ref="F28:G28"/>
    <mergeCell ref="F29:G29"/>
    <mergeCell ref="F30:G30"/>
    <mergeCell ref="F31:G31"/>
    <mergeCell ref="B33:G33"/>
    <mergeCell ref="D34:G34"/>
    <mergeCell ref="D35:G35"/>
    <mergeCell ref="D36:G36"/>
    <mergeCell ref="D37:G37"/>
    <mergeCell ref="D38:G38"/>
    <mergeCell ref="D39:G39"/>
    <mergeCell ref="C40:G40"/>
    <mergeCell ref="B42:G42"/>
    <mergeCell ref="D43:G43"/>
    <mergeCell ref="D44:G44"/>
    <mergeCell ref="D45:G45"/>
    <mergeCell ref="D46:G46"/>
    <mergeCell ref="D47:G47"/>
    <mergeCell ref="D48:G48"/>
    <mergeCell ref="C49:G49"/>
    <mergeCell ref="B51:G51"/>
    <mergeCell ref="B61:G61"/>
  </mergeCells>
  <conditionalFormatting sqref="C40">
    <cfRule type="expression" priority="2" aboveAverage="0" equalAverage="0" bottom="0" percent="0" rank="0" text="" dxfId="0">
      <formula>LEFT($C$40,7)="LONGGAR"</formula>
    </cfRule>
    <cfRule type="expression" priority="3" aboveAverage="0" equalAverage="0" bottom="0" percent="0" rank="0" text="" dxfId="1">
      <formula>LEFT($C$40,6)="SESUAI"</formula>
    </cfRule>
    <cfRule type="expression" priority="4" aboveAverage="0" equalAverage="0" bottom="0" percent="0" rank="0" text="" dxfId="2">
      <formula>LEFT($C$40,5)="TIDAK"</formula>
    </cfRule>
  </conditionalFormatting>
  <conditionalFormatting sqref="C49">
    <cfRule type="expression" priority="5" aboveAverage="0" equalAverage="0" bottom="0" percent="0" rank="0" text="" dxfId="0">
      <formula>LEFT($C$49,5)="SEHAT"</formula>
    </cfRule>
    <cfRule type="expression" priority="6" aboveAverage="0" equalAverage="0" bottom="0" percent="0" rank="0" text="" dxfId="1">
      <formula>LEFT($C$49,5)="KETAT"</formula>
    </cfRule>
    <cfRule type="expression" priority="7" aboveAverage="0" equalAverage="0" bottom="0" percent="0" rank="0" text="" dxfId="2">
      <formula>LEFT($C$49,8)="BERISIKO"</formula>
    </cfRule>
  </conditionalFormatting>
  <dataValidations count="8">
    <dataValidation allowBlank="false" error="Pilih dari daftar." errorStyle="stop" errorTitle="Pilihan tidak valid" operator="between" prompt="Pilih kategori usaha" promptTitle="Pilih" showDropDown="false" showErrorMessage="true" showInputMessage="true" sqref="C7" type="list">
      <formula1>Parameter!$A$6:$A$14</formula1>
      <formula2>0</formula2>
    </dataValidation>
    <dataValidation allowBlank="false" error="Pilih dari daftar." errorStyle="stop" errorTitle="Pilihan tidak valid" operator="between" prompt="Pilih masa sewa" promptTitle="Pilih" showDropDown="false" showErrorMessage="true" showInputMessage="true" sqref="C10" type="list">
      <formula1>Parameter!$A$33:$A$36</formula1>
      <formula2>0</formula2>
    </dataValidation>
    <dataValidation allowBlank="false" error="Pilih dari daftar." errorStyle="stop" errorTitle="Pilihan tidak valid" operator="between" prompt="Pilih lokasi" promptTitle="Pilih" showDropDown="false" showErrorMessage="true" showInputMessage="true" sqref="C11" type="list">
      <formula1>Parameter!$A$45:$A$47</formula1>
      <formula2>0</formula2>
    </dataValidation>
    <dataValidation allowBlank="false" error="Pilih dari daftar." errorStyle="stop" errorTitle="Pilihan tidak valid" operator="between" prompt="Pilih kondisi unit" promptTitle="Pilih" showDropDown="false" showErrorMessage="true" showInputMessage="true" sqref="C12" type="list">
      <formula1>Parameter!$A$51:$A$53</formula1>
      <formula2>0</formula2>
    </dataValidation>
    <dataValidation allowBlank="false" error="Pilih dari daftar." errorStyle="stop" errorTitle="Pilihan tidak valid" operator="between" prompt="Pilih kota" promptTitle="Pilih" showDropDown="false" showErrorMessage="true" showInputMessage="true" sqref="C13" type="list">
      <formula1>Parameter!$A$57:$A$58</formula1>
      <formula2>0</formula2>
    </dataValidation>
    <dataValidation allowBlank="false" error="Pilih dari daftar." errorStyle="stop" errorTitle="Pilihan tidak valid" operator="between" prompt="Ya / Tidak" promptTitle="Pilih" showDropDown="false" showErrorMessage="true" showInputMessage="true" sqref="C14" type="list">
      <formula1>Parameter!$A$40:$A$41</formula1>
      <formula2>0</formula2>
    </dataValidation>
    <dataValidation allowBlank="false" error="Isi angka lebih dari 0." errorStyle="stop" operator="greaterThan" showDropDown="false" showErrorMessage="true" showInputMessage="false" sqref="C8" type="whole">
      <formula1>0</formula1>
      <formula2>0</formula2>
    </dataValidation>
    <dataValidation allowBlank="false" error="Isi angka lebih dari 0." errorStyle="stop" operator="greaterThan" showDropDown="false" showErrorMessage="true" showInputMessage="false" sqref="C9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1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35" t="s">
        <v>166</v>
      </c>
    </row>
    <row r="2" customFormat="false" ht="15" hidden="false" customHeight="false" outlineLevel="0" collapsed="false">
      <c r="A2" s="10" t="s">
        <v>167</v>
      </c>
      <c r="B2" s="10"/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A4" s="36" t="s">
        <v>168</v>
      </c>
    </row>
    <row r="5" customFormat="false" ht="45" hidden="false" customHeight="true" outlineLevel="0" collapsed="false">
      <c r="A5" s="37" t="s">
        <v>74</v>
      </c>
      <c r="B5" s="37" t="s">
        <v>169</v>
      </c>
      <c r="C5" s="37" t="s">
        <v>170</v>
      </c>
      <c r="D5" s="37" t="s">
        <v>171</v>
      </c>
      <c r="E5" s="37" t="s">
        <v>137</v>
      </c>
      <c r="F5" s="37" t="s">
        <v>172</v>
      </c>
      <c r="G5" s="37" t="s">
        <v>173</v>
      </c>
      <c r="H5" s="37" t="s">
        <v>174</v>
      </c>
      <c r="I5" s="37" t="s">
        <v>175</v>
      </c>
      <c r="J5" s="37" t="s">
        <v>176</v>
      </c>
    </row>
    <row r="6" customFormat="false" ht="15" hidden="false" customHeight="false" outlineLevel="0" collapsed="false">
      <c r="A6" s="15" t="s">
        <v>177</v>
      </c>
      <c r="B6" s="19" t="n">
        <v>0.18</v>
      </c>
      <c r="C6" s="19" t="n">
        <v>0.3</v>
      </c>
      <c r="D6" s="19" t="n">
        <v>0.175</v>
      </c>
      <c r="E6" s="19" t="n">
        <v>0.6</v>
      </c>
      <c r="F6" s="38" t="n">
        <v>2.5</v>
      </c>
      <c r="G6" s="17" t="n">
        <v>4000000</v>
      </c>
      <c r="H6" s="17" t="n">
        <v>8000000</v>
      </c>
      <c r="I6" s="4" t="s">
        <v>178</v>
      </c>
      <c r="J6" s="39" t="s">
        <v>179</v>
      </c>
    </row>
    <row r="7" customFormat="false" ht="15" hidden="false" customHeight="false" outlineLevel="0" collapsed="false">
      <c r="A7" s="15" t="s">
        <v>180</v>
      </c>
      <c r="B7" s="19" t="n">
        <v>0.2</v>
      </c>
      <c r="C7" s="19" t="n">
        <v>0.35</v>
      </c>
      <c r="D7" s="19" t="n">
        <v>0.15</v>
      </c>
      <c r="E7" s="19" t="n">
        <v>0.85</v>
      </c>
      <c r="F7" s="38" t="n">
        <v>2.5</v>
      </c>
      <c r="G7" s="17" t="n">
        <v>3000000</v>
      </c>
      <c r="H7" s="17" t="n">
        <v>7000000</v>
      </c>
      <c r="I7" s="4" t="s">
        <v>181</v>
      </c>
      <c r="J7" s="39" t="s">
        <v>182</v>
      </c>
    </row>
    <row r="8" customFormat="false" ht="15" hidden="false" customHeight="false" outlineLevel="0" collapsed="false">
      <c r="A8" s="15" t="s">
        <v>183</v>
      </c>
      <c r="B8" s="19" t="n">
        <v>0.2</v>
      </c>
      <c r="C8" s="19" t="n">
        <v>0.35</v>
      </c>
      <c r="D8" s="19" t="n">
        <v>0.175</v>
      </c>
      <c r="E8" s="19" t="n">
        <v>0.7</v>
      </c>
      <c r="F8" s="38" t="n">
        <v>3</v>
      </c>
      <c r="G8" s="17" t="n">
        <v>3000000</v>
      </c>
      <c r="H8" s="17" t="n">
        <v>6000000</v>
      </c>
      <c r="I8" s="4" t="s">
        <v>184</v>
      </c>
      <c r="J8" s="39"/>
    </row>
    <row r="9" customFormat="false" ht="15" hidden="false" customHeight="false" outlineLevel="0" collapsed="false">
      <c r="A9" s="15" t="s">
        <v>185</v>
      </c>
      <c r="B9" s="19" t="n">
        <v>0.2</v>
      </c>
      <c r="C9" s="19" t="n">
        <v>0.35</v>
      </c>
      <c r="D9" s="19" t="n">
        <v>0.2</v>
      </c>
      <c r="E9" s="19" t="n">
        <v>0.45</v>
      </c>
      <c r="F9" s="38" t="n">
        <v>3</v>
      </c>
      <c r="G9" s="17" t="n">
        <v>4000000</v>
      </c>
      <c r="H9" s="17" t="n">
        <v>8000000</v>
      </c>
      <c r="I9" s="4" t="s">
        <v>186</v>
      </c>
      <c r="J9" s="39" t="s">
        <v>187</v>
      </c>
    </row>
    <row r="10" customFormat="false" ht="15" hidden="false" customHeight="false" outlineLevel="0" collapsed="false">
      <c r="A10" s="15" t="s">
        <v>188</v>
      </c>
      <c r="B10" s="19" t="n">
        <v>0.1</v>
      </c>
      <c r="C10" s="19" t="n">
        <v>0.16</v>
      </c>
      <c r="D10" s="19" t="n">
        <v>0.1</v>
      </c>
      <c r="E10" s="19" t="n">
        <v>0.75</v>
      </c>
      <c r="F10" s="38" t="n">
        <v>3</v>
      </c>
      <c r="G10" s="17" t="n">
        <v>2500000</v>
      </c>
      <c r="H10" s="17" t="n">
        <v>5000000</v>
      </c>
      <c r="I10" s="4" t="s">
        <v>189</v>
      </c>
      <c r="J10" s="39" t="s">
        <v>190</v>
      </c>
    </row>
    <row r="11" customFormat="false" ht="23.85" hidden="false" customHeight="false" outlineLevel="0" collapsed="false">
      <c r="A11" s="15" t="s">
        <v>75</v>
      </c>
      <c r="B11" s="19" t="n">
        <v>0.09</v>
      </c>
      <c r="C11" s="19" t="n">
        <v>0.13</v>
      </c>
      <c r="D11" s="19" t="n">
        <v>0.1</v>
      </c>
      <c r="E11" s="19" t="n">
        <v>0.65</v>
      </c>
      <c r="F11" s="38" t="n">
        <v>2.5</v>
      </c>
      <c r="G11" s="17" t="n">
        <v>2000000</v>
      </c>
      <c r="H11" s="17" t="n">
        <v>4000000</v>
      </c>
      <c r="I11" s="4" t="s">
        <v>191</v>
      </c>
      <c r="J11" s="39" t="s">
        <v>192</v>
      </c>
    </row>
    <row r="12" customFormat="false" ht="15" hidden="false" customHeight="false" outlineLevel="0" collapsed="false">
      <c r="A12" s="15" t="s">
        <v>193</v>
      </c>
      <c r="B12" s="19" t="n">
        <v>0.04</v>
      </c>
      <c r="C12" s="19" t="n">
        <v>0.08</v>
      </c>
      <c r="D12" s="19" t="n">
        <v>0.065</v>
      </c>
      <c r="E12" s="19" t="n">
        <v>0.55</v>
      </c>
      <c r="F12" s="38" t="n">
        <v>3</v>
      </c>
      <c r="G12" s="17" t="n">
        <v>1500000</v>
      </c>
      <c r="H12" s="17" t="n">
        <v>3000000</v>
      </c>
      <c r="I12" s="4" t="s">
        <v>194</v>
      </c>
      <c r="J12" s="39"/>
    </row>
    <row r="13" customFormat="false" ht="15" hidden="false" customHeight="false" outlineLevel="0" collapsed="false">
      <c r="A13" s="15" t="s">
        <v>195</v>
      </c>
      <c r="B13" s="19" t="n">
        <v>0.04</v>
      </c>
      <c r="C13" s="19" t="n">
        <v>0.07</v>
      </c>
      <c r="D13" s="19" t="n">
        <v>0.05</v>
      </c>
      <c r="E13" s="19" t="n">
        <v>0.35</v>
      </c>
      <c r="F13" s="38" t="n">
        <v>3</v>
      </c>
      <c r="G13" s="17" t="n">
        <v>1500000</v>
      </c>
      <c r="H13" s="17" t="n">
        <v>3000000</v>
      </c>
      <c r="I13" s="4" t="s">
        <v>186</v>
      </c>
      <c r="J13" s="39" t="s">
        <v>196</v>
      </c>
    </row>
    <row r="14" customFormat="false" ht="15" hidden="false" customHeight="false" outlineLevel="0" collapsed="false">
      <c r="A14" s="15" t="s">
        <v>197</v>
      </c>
      <c r="B14" s="19" t="n">
        <v>0.04</v>
      </c>
      <c r="C14" s="19" t="n">
        <v>0.09</v>
      </c>
      <c r="D14" s="19" t="n">
        <v>0.05</v>
      </c>
      <c r="E14" s="19" t="n">
        <v>0.75</v>
      </c>
      <c r="F14" s="38" t="n">
        <v>2</v>
      </c>
      <c r="G14" s="17" t="n">
        <v>3000000</v>
      </c>
      <c r="H14" s="17" t="n">
        <v>6000000</v>
      </c>
      <c r="I14" s="4" t="s">
        <v>198</v>
      </c>
      <c r="J14" s="39" t="s">
        <v>199</v>
      </c>
    </row>
    <row r="15" customFormat="false" ht="15" hidden="false" customHeight="false" outlineLevel="0" collapsed="false">
      <c r="A15" s="10" t="s">
        <v>200</v>
      </c>
      <c r="B15" s="10"/>
      <c r="C15" s="10"/>
      <c r="D15" s="10"/>
      <c r="E15" s="10"/>
      <c r="F15" s="10"/>
      <c r="G15" s="10"/>
      <c r="H15" s="10"/>
      <c r="I15" s="10"/>
      <c r="J15" s="10"/>
    </row>
    <row r="18" customFormat="false" ht="15" hidden="false" customHeight="false" outlineLevel="0" collapsed="false">
      <c r="A18" s="36" t="s">
        <v>201</v>
      </c>
    </row>
    <row r="19" customFormat="false" ht="45" hidden="false" customHeight="true" outlineLevel="0" collapsed="false">
      <c r="A19" s="40" t="s">
        <v>74</v>
      </c>
      <c r="B19" s="37" t="s">
        <v>152</v>
      </c>
      <c r="C19" s="37" t="s">
        <v>154</v>
      </c>
      <c r="D19" s="37" t="s">
        <v>156</v>
      </c>
      <c r="E19" s="37" t="s">
        <v>158</v>
      </c>
      <c r="F19" s="37" t="s">
        <v>160</v>
      </c>
      <c r="G19" s="37" t="s">
        <v>162</v>
      </c>
      <c r="H19" s="37" t="s">
        <v>202</v>
      </c>
    </row>
    <row r="20" customFormat="false" ht="15" hidden="false" customHeight="false" outlineLevel="0" collapsed="false">
      <c r="A20" s="15" t="str">
        <f aca="false">A6</f>
        <v>Kafe / resto (F&amp;B)</v>
      </c>
      <c r="B20" s="19" t="n">
        <v>0.25</v>
      </c>
      <c r="C20" s="19" t="n">
        <v>0.15</v>
      </c>
      <c r="D20" s="19" t="n">
        <v>0.3</v>
      </c>
      <c r="E20" s="19" t="n">
        <v>0.12</v>
      </c>
      <c r="F20" s="19" t="n">
        <v>0.1</v>
      </c>
      <c r="G20" s="19" t="n">
        <v>0.08</v>
      </c>
      <c r="H20" s="21" t="n">
        <f aca="false">SUM(B20:G20)</f>
        <v>1</v>
      </c>
    </row>
    <row r="21" customFormat="false" ht="15" hidden="false" customHeight="false" outlineLevel="0" collapsed="false">
      <c r="A21" s="15" t="str">
        <f aca="false">A7</f>
        <v>Fashion / aksesoris</v>
      </c>
      <c r="B21" s="19" t="n">
        <v>0.3</v>
      </c>
      <c r="C21" s="19" t="n">
        <v>0.18</v>
      </c>
      <c r="D21" s="19" t="n">
        <v>0.25</v>
      </c>
      <c r="E21" s="19" t="n">
        <v>0.12</v>
      </c>
      <c r="F21" s="19" t="n">
        <v>0.07</v>
      </c>
      <c r="G21" s="19" t="n">
        <v>0.08</v>
      </c>
      <c r="H21" s="21" t="n">
        <f aca="false">SUM(B21:G21)</f>
        <v>1</v>
      </c>
    </row>
    <row r="22" customFormat="false" ht="15" hidden="false" customHeight="false" outlineLevel="0" collapsed="false">
      <c r="A22" s="15" t="str">
        <f aca="false">A8</f>
        <v>Salon</v>
      </c>
      <c r="B22" s="19" t="n">
        <v>0.25</v>
      </c>
      <c r="C22" s="19" t="n">
        <v>0.15</v>
      </c>
      <c r="D22" s="19" t="n">
        <v>0.3</v>
      </c>
      <c r="E22" s="19" t="n">
        <v>0.1</v>
      </c>
      <c r="F22" s="19" t="n">
        <v>0.12</v>
      </c>
      <c r="G22" s="19" t="n">
        <v>0.08</v>
      </c>
      <c r="H22" s="21" t="n">
        <f aca="false">SUM(B22:G22)</f>
        <v>1</v>
      </c>
    </row>
    <row r="23" customFormat="false" ht="15" hidden="false" customHeight="false" outlineLevel="0" collapsed="false">
      <c r="A23" s="15" t="str">
        <f aca="false">A9</f>
        <v>Klinik kecantikan / kesehatan</v>
      </c>
      <c r="B23" s="19" t="n">
        <v>0.2</v>
      </c>
      <c r="C23" s="19" t="n">
        <v>0.15</v>
      </c>
      <c r="D23" s="19" t="n">
        <v>0.3</v>
      </c>
      <c r="E23" s="19" t="n">
        <v>0.1</v>
      </c>
      <c r="F23" s="19" t="n">
        <v>0.17</v>
      </c>
      <c r="G23" s="19" t="n">
        <v>0.08</v>
      </c>
      <c r="H23" s="21" t="n">
        <f aca="false">SUM(B23:G23)</f>
        <v>1</v>
      </c>
    </row>
    <row r="24" customFormat="false" ht="15" hidden="false" customHeight="false" outlineLevel="0" collapsed="false">
      <c r="A24" s="15" t="str">
        <f aca="false">A10</f>
        <v>Furnitur &amp; dekorasi rumah (big-box)</v>
      </c>
      <c r="B24" s="19" t="n">
        <v>0.32</v>
      </c>
      <c r="C24" s="19" t="n">
        <v>0.18</v>
      </c>
      <c r="D24" s="19" t="n">
        <v>0.24</v>
      </c>
      <c r="E24" s="19" t="n">
        <v>0.1</v>
      </c>
      <c r="F24" s="19" t="n">
        <v>0.08</v>
      </c>
      <c r="G24" s="19" t="n">
        <v>0.08</v>
      </c>
      <c r="H24" s="21" t="n">
        <f aca="false">SUM(B24:G24)</f>
        <v>1</v>
      </c>
    </row>
    <row r="25" customFormat="false" ht="15" hidden="false" customHeight="false" outlineLevel="0" collapsed="false">
      <c r="A25" s="15" t="str">
        <f aca="false">A11</f>
        <v>Perlengkapan rumah &amp; perkakas (big-box)</v>
      </c>
      <c r="B25" s="19" t="n">
        <v>0.4</v>
      </c>
      <c r="C25" s="19" t="n">
        <v>0.17</v>
      </c>
      <c r="D25" s="19" t="n">
        <v>0.17</v>
      </c>
      <c r="E25" s="19" t="n">
        <v>0.1</v>
      </c>
      <c r="F25" s="19" t="n">
        <v>0.09</v>
      </c>
      <c r="G25" s="19" t="n">
        <v>0.07</v>
      </c>
      <c r="H25" s="21" t="n">
        <f aca="false">SUM(B25:G25)</f>
        <v>1</v>
      </c>
    </row>
    <row r="26" customFormat="false" ht="15" hidden="false" customHeight="false" outlineLevel="0" collapsed="false">
      <c r="A26" s="15" t="str">
        <f aca="false">A12</f>
        <v>Apotek / toko kesehatan</v>
      </c>
      <c r="B26" s="19" t="n">
        <v>0.35</v>
      </c>
      <c r="C26" s="19" t="n">
        <v>0.15</v>
      </c>
      <c r="D26" s="19" t="n">
        <v>0.25</v>
      </c>
      <c r="E26" s="19" t="n">
        <v>0.1</v>
      </c>
      <c r="F26" s="19" t="n">
        <v>0.07</v>
      </c>
      <c r="G26" s="19" t="n">
        <v>0.08</v>
      </c>
      <c r="H26" s="21" t="n">
        <f aca="false">SUM(B26:G26)</f>
        <v>1</v>
      </c>
    </row>
    <row r="27" customFormat="false" ht="15" hidden="false" customHeight="false" outlineLevel="0" collapsed="false">
      <c r="A27" s="15" t="str">
        <f aca="false">A13</f>
        <v>Minimarket / grocery</v>
      </c>
      <c r="B27" s="19" t="n">
        <v>0.35</v>
      </c>
      <c r="C27" s="19" t="n">
        <v>0.18</v>
      </c>
      <c r="D27" s="19" t="n">
        <v>0.22</v>
      </c>
      <c r="E27" s="19" t="n">
        <v>0.1</v>
      </c>
      <c r="F27" s="19" t="n">
        <v>0.07</v>
      </c>
      <c r="G27" s="19" t="n">
        <v>0.08</v>
      </c>
      <c r="H27" s="21" t="n">
        <f aca="false">SUM(B27:G27)</f>
        <v>1</v>
      </c>
    </row>
    <row r="28" customFormat="false" ht="15" hidden="false" customHeight="false" outlineLevel="0" collapsed="false">
      <c r="A28" s="15" t="str">
        <f aca="false">A14</f>
        <v>Elektronik / gadget</v>
      </c>
      <c r="B28" s="19" t="n">
        <v>0.3</v>
      </c>
      <c r="C28" s="19" t="n">
        <v>0.18</v>
      </c>
      <c r="D28" s="19" t="n">
        <v>0.22</v>
      </c>
      <c r="E28" s="19" t="n">
        <v>0.12</v>
      </c>
      <c r="F28" s="19" t="n">
        <v>0.1</v>
      </c>
      <c r="G28" s="19" t="n">
        <v>0.08</v>
      </c>
      <c r="H28" s="21" t="n">
        <f aca="false">SUM(B28:G28)</f>
        <v>1</v>
      </c>
    </row>
    <row r="31" customFormat="false" ht="15" hidden="false" customHeight="false" outlineLevel="0" collapsed="false">
      <c r="A31" s="36" t="s">
        <v>203</v>
      </c>
    </row>
    <row r="32" customFormat="false" ht="15" hidden="false" customHeight="false" outlineLevel="0" collapsed="false">
      <c r="A32" s="40" t="s">
        <v>204</v>
      </c>
      <c r="B32" s="40" t="s">
        <v>205</v>
      </c>
      <c r="C32" s="41" t="s">
        <v>206</v>
      </c>
    </row>
    <row r="33" customFormat="false" ht="15" hidden="false" customHeight="false" outlineLevel="0" collapsed="false">
      <c r="A33" s="4" t="n">
        <v>3</v>
      </c>
      <c r="B33" s="42" t="n">
        <v>0.7</v>
      </c>
    </row>
    <row r="34" customFormat="false" ht="15" hidden="false" customHeight="false" outlineLevel="0" collapsed="false">
      <c r="A34" s="4" t="n">
        <v>5</v>
      </c>
      <c r="B34" s="42" t="n">
        <v>1</v>
      </c>
    </row>
    <row r="35" customFormat="false" ht="15" hidden="false" customHeight="false" outlineLevel="0" collapsed="false">
      <c r="A35" s="4" t="n">
        <v>7</v>
      </c>
      <c r="B35" s="42" t="n">
        <v>1.15</v>
      </c>
    </row>
    <row r="36" customFormat="false" ht="15" hidden="false" customHeight="false" outlineLevel="0" collapsed="false">
      <c r="A36" s="4" t="n">
        <v>10</v>
      </c>
      <c r="B36" s="42" t="n">
        <v>1.3</v>
      </c>
    </row>
    <row r="38" customFormat="false" ht="15" hidden="false" customHeight="false" outlineLevel="0" collapsed="false">
      <c r="A38" s="36" t="s">
        <v>207</v>
      </c>
    </row>
    <row r="39" customFormat="false" ht="15" hidden="false" customHeight="false" outlineLevel="0" collapsed="false">
      <c r="A39" s="40" t="s">
        <v>204</v>
      </c>
      <c r="B39" s="40" t="s">
        <v>205</v>
      </c>
      <c r="C39" s="41" t="s">
        <v>208</v>
      </c>
    </row>
    <row r="40" customFormat="false" ht="15" hidden="false" customHeight="false" outlineLevel="0" collapsed="false">
      <c r="A40" s="4" t="s">
        <v>93</v>
      </c>
      <c r="B40" s="42" t="n">
        <v>1</v>
      </c>
    </row>
    <row r="41" customFormat="false" ht="15" hidden="false" customHeight="false" outlineLevel="0" collapsed="false">
      <c r="A41" s="4" t="s">
        <v>209</v>
      </c>
      <c r="B41" s="42" t="n">
        <v>1.25</v>
      </c>
    </row>
    <row r="43" customFormat="false" ht="15" hidden="false" customHeight="false" outlineLevel="0" collapsed="false">
      <c r="A43" s="36" t="s">
        <v>210</v>
      </c>
    </row>
    <row r="44" customFormat="false" ht="15" hidden="false" customHeight="false" outlineLevel="0" collapsed="false">
      <c r="A44" s="40" t="s">
        <v>204</v>
      </c>
      <c r="B44" s="40" t="s">
        <v>205</v>
      </c>
      <c r="C44" s="41" t="s">
        <v>211</v>
      </c>
    </row>
    <row r="45" customFormat="false" ht="15" hidden="false" customHeight="false" outlineLevel="0" collapsed="false">
      <c r="A45" s="4" t="s">
        <v>84</v>
      </c>
      <c r="B45" s="42" t="n">
        <v>1</v>
      </c>
    </row>
    <row r="46" customFormat="false" ht="15" hidden="false" customHeight="false" outlineLevel="0" collapsed="false">
      <c r="A46" s="4" t="s">
        <v>212</v>
      </c>
      <c r="B46" s="42" t="n">
        <v>0.85</v>
      </c>
    </row>
    <row r="47" customFormat="false" ht="15" hidden="false" customHeight="false" outlineLevel="0" collapsed="false">
      <c r="A47" s="4" t="s">
        <v>213</v>
      </c>
      <c r="B47" s="42" t="n">
        <v>1.05</v>
      </c>
    </row>
    <row r="49" customFormat="false" ht="15" hidden="false" customHeight="false" outlineLevel="0" collapsed="false">
      <c r="A49" s="36" t="s">
        <v>214</v>
      </c>
    </row>
    <row r="50" customFormat="false" ht="15" hidden="false" customHeight="false" outlineLevel="0" collapsed="false">
      <c r="A50" s="40" t="s">
        <v>204</v>
      </c>
      <c r="B50" s="40" t="s">
        <v>205</v>
      </c>
      <c r="C50" s="41" t="s">
        <v>215</v>
      </c>
    </row>
    <row r="51" customFormat="false" ht="15" hidden="false" customHeight="false" outlineLevel="0" collapsed="false">
      <c r="A51" s="4" t="s">
        <v>87</v>
      </c>
      <c r="B51" s="42" t="n">
        <v>1</v>
      </c>
    </row>
    <row r="52" customFormat="false" ht="15" hidden="false" customHeight="false" outlineLevel="0" collapsed="false">
      <c r="A52" s="4" t="s">
        <v>216</v>
      </c>
      <c r="B52" s="42" t="n">
        <v>1.15</v>
      </c>
    </row>
    <row r="53" customFormat="false" ht="15" hidden="false" customHeight="false" outlineLevel="0" collapsed="false">
      <c r="A53" s="4" t="s">
        <v>217</v>
      </c>
      <c r="B53" s="42" t="n">
        <v>0.85</v>
      </c>
    </row>
    <row r="55" customFormat="false" ht="15" hidden="false" customHeight="false" outlineLevel="0" collapsed="false">
      <c r="A55" s="36" t="s">
        <v>218</v>
      </c>
    </row>
    <row r="56" customFormat="false" ht="15" hidden="false" customHeight="false" outlineLevel="0" collapsed="false">
      <c r="A56" s="40" t="s">
        <v>204</v>
      </c>
      <c r="B56" s="40" t="s">
        <v>205</v>
      </c>
      <c r="C56" s="41" t="s">
        <v>219</v>
      </c>
    </row>
    <row r="57" customFormat="false" ht="15" hidden="false" customHeight="false" outlineLevel="0" collapsed="false">
      <c r="A57" s="4" t="s">
        <v>90</v>
      </c>
      <c r="B57" s="42" t="n">
        <v>1</v>
      </c>
    </row>
    <row r="58" customFormat="false" ht="15" hidden="false" customHeight="false" outlineLevel="0" collapsed="false">
      <c r="A58" s="4" t="s">
        <v>220</v>
      </c>
      <c r="B58" s="42" t="n">
        <v>0.85</v>
      </c>
    </row>
  </sheetData>
  <mergeCells count="2">
    <mergeCell ref="A2:J2"/>
    <mergeCell ref="A15:J15"/>
  </mergeCells>
  <conditionalFormatting sqref="H20:H28">
    <cfRule type="expression" priority="2" aboveAverage="0" equalAverage="0" bottom="0" percent="0" rank="0" text="" dxfId="2">
      <formula>ROUND(H20,4)&lt;&gt;1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P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8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8" min="6" style="0" width="22"/>
    <col collapsed="false" customWidth="true" hidden="false" outlineLevel="0" max="9" min="9" style="0" width="11"/>
    <col collapsed="false" customWidth="true" hidden="false" outlineLevel="0" max="10" min="10" style="0" width="18"/>
    <col collapsed="false" customWidth="true" hidden="false" outlineLevel="0" max="11" min="11" style="0" width="36"/>
    <col collapsed="false" customWidth="true" hidden="false" outlineLevel="0" max="13" min="13" style="0" width="40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35" t="s">
        <v>221</v>
      </c>
    </row>
    <row r="2" customFormat="false" ht="15" hidden="false" customHeight="false" outlineLevel="0" collapsed="false">
      <c r="A2" s="10" t="s">
        <v>222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customFormat="false" ht="45" hidden="false" customHeight="true" outlineLevel="0" collapsed="false">
      <c r="A4" s="37" t="s">
        <v>71</v>
      </c>
      <c r="B4" s="37" t="s">
        <v>74</v>
      </c>
      <c r="C4" s="37" t="s">
        <v>223</v>
      </c>
      <c r="D4" s="37" t="s">
        <v>83</v>
      </c>
      <c r="E4" s="37" t="s">
        <v>224</v>
      </c>
      <c r="F4" s="37" t="s">
        <v>225</v>
      </c>
      <c r="G4" s="37" t="s">
        <v>226</v>
      </c>
      <c r="H4" s="37" t="s">
        <v>227</v>
      </c>
      <c r="I4" s="37" t="s">
        <v>228</v>
      </c>
      <c r="J4" s="37" t="s">
        <v>229</v>
      </c>
      <c r="K4" s="37" t="s">
        <v>230</v>
      </c>
      <c r="M4" s="40" t="s">
        <v>231</v>
      </c>
      <c r="N4" s="43" t="s">
        <v>232</v>
      </c>
      <c r="O4" s="43" t="s">
        <v>233</v>
      </c>
      <c r="P4" s="43" t="s">
        <v>234</v>
      </c>
    </row>
    <row r="5" customFormat="false" ht="15" hidden="false" customHeight="false" outlineLevel="0" collapsed="false">
      <c r="A5" s="4" t="s">
        <v>235</v>
      </c>
      <c r="B5" s="4" t="s">
        <v>75</v>
      </c>
      <c r="C5" s="18" t="n">
        <v>2025</v>
      </c>
      <c r="D5" s="4" t="s">
        <v>84</v>
      </c>
      <c r="E5" s="16" t="n">
        <v>2800</v>
      </c>
      <c r="F5" s="17" t="n">
        <v>2300000</v>
      </c>
      <c r="G5" s="17" t="n">
        <v>8400000000</v>
      </c>
      <c r="H5" s="20" t="n">
        <f aca="false">IF(OR(E5="",F5=""),"",E5*F5*12)</f>
        <v>77280000000</v>
      </c>
      <c r="I5" s="21" t="n">
        <f aca="false">IF(OR(G5="",H5="",H5=0),"",G5/H5)</f>
        <v>0.108695652173913</v>
      </c>
      <c r="J5" s="20" t="n">
        <f aca="false">IF(OR(G5="",E5="",E5=0),"",G5/E5)</f>
        <v>3000000</v>
      </c>
      <c r="K5" s="4" t="s">
        <v>236</v>
      </c>
      <c r="M5" s="5" t="str">
        <f aca="false">Parameter!A6</f>
        <v>Kafe / resto (F&amp;B)</v>
      </c>
      <c r="N5" s="44" t="n">
        <f aca="false">COUNTIFS($B$5:$B$104,M5,$I$5:$I$104,"&gt;0")</f>
        <v>0</v>
      </c>
      <c r="O5" s="21" t="str">
        <f aca="false">IF(N5=0,"-",AVERAGEIFS($I$5:$I$104,$B$5:$B$104,M5,$I$5:$I$104,"&gt;0"))</f>
        <v>-</v>
      </c>
      <c r="P5" s="21" t="n">
        <f aca="false">AVERAGE(Parameter!B6,Parameter!C6)</f>
        <v>0.24</v>
      </c>
    </row>
    <row r="6" customFormat="false" ht="15" hidden="false" customHeight="false" outlineLevel="0" collapsed="false">
      <c r="A6" s="4"/>
      <c r="B6" s="4"/>
      <c r="C6" s="18"/>
      <c r="D6" s="4"/>
      <c r="E6" s="16"/>
      <c r="F6" s="17"/>
      <c r="G6" s="17"/>
      <c r="H6" s="20" t="str">
        <f aca="false">IF(OR(E6="",F6=""),"",E6*F6*12)</f>
        <v/>
      </c>
      <c r="I6" s="21" t="str">
        <f aca="false">IF(OR(G6="",H6="",H6=0),"",G6/H6)</f>
        <v/>
      </c>
      <c r="J6" s="20" t="str">
        <f aca="false">IF(OR(G6="",E6="",E6=0),"",G6/E6)</f>
        <v/>
      </c>
      <c r="K6" s="4"/>
      <c r="M6" s="5" t="str">
        <f aca="false">Parameter!A7</f>
        <v>Fashion / aksesoris</v>
      </c>
      <c r="N6" s="44" t="n">
        <f aca="false">COUNTIFS($B$5:$B$104,M6,$I$5:$I$104,"&gt;0")</f>
        <v>0</v>
      </c>
      <c r="O6" s="21" t="str">
        <f aca="false">IF(N6=0,"-",AVERAGEIFS($I$5:$I$104,$B$5:$B$104,M6,$I$5:$I$104,"&gt;0"))</f>
        <v>-</v>
      </c>
      <c r="P6" s="21" t="n">
        <f aca="false">AVERAGE(Parameter!B7,Parameter!C7)</f>
        <v>0.275</v>
      </c>
    </row>
    <row r="7" customFormat="false" ht="15" hidden="false" customHeight="false" outlineLevel="0" collapsed="false">
      <c r="A7" s="4"/>
      <c r="B7" s="4"/>
      <c r="C7" s="18"/>
      <c r="D7" s="4"/>
      <c r="E7" s="16"/>
      <c r="F7" s="17"/>
      <c r="G7" s="17"/>
      <c r="H7" s="20" t="str">
        <f aca="false">IF(OR(E7="",F7=""),"",E7*F7*12)</f>
        <v/>
      </c>
      <c r="I7" s="21" t="str">
        <f aca="false">IF(OR(G7="",H7="",H7=0),"",G7/H7)</f>
        <v/>
      </c>
      <c r="J7" s="20" t="str">
        <f aca="false">IF(OR(G7="",E7="",E7=0),"",G7/E7)</f>
        <v/>
      </c>
      <c r="K7" s="4"/>
      <c r="M7" s="5" t="str">
        <f aca="false">Parameter!A8</f>
        <v>Salon</v>
      </c>
      <c r="N7" s="44" t="n">
        <f aca="false">COUNTIFS($B$5:$B$104,M7,$I$5:$I$104,"&gt;0")</f>
        <v>0</v>
      </c>
      <c r="O7" s="21" t="str">
        <f aca="false">IF(N7=0,"-",AVERAGEIFS($I$5:$I$104,$B$5:$B$104,M7,$I$5:$I$104,"&gt;0"))</f>
        <v>-</v>
      </c>
      <c r="P7" s="21" t="n">
        <f aca="false">AVERAGE(Parameter!B8,Parameter!C8)</f>
        <v>0.275</v>
      </c>
    </row>
    <row r="8" customFormat="false" ht="15" hidden="false" customHeight="false" outlineLevel="0" collapsed="false">
      <c r="A8" s="4"/>
      <c r="B8" s="4"/>
      <c r="C8" s="18"/>
      <c r="D8" s="4"/>
      <c r="E8" s="16"/>
      <c r="F8" s="17"/>
      <c r="G8" s="17"/>
      <c r="H8" s="20" t="str">
        <f aca="false">IF(OR(E8="",F8=""),"",E8*F8*12)</f>
        <v/>
      </c>
      <c r="I8" s="21" t="str">
        <f aca="false">IF(OR(G8="",H8="",H8=0),"",G8/H8)</f>
        <v/>
      </c>
      <c r="J8" s="20" t="str">
        <f aca="false">IF(OR(G8="",E8="",E8=0),"",G8/E8)</f>
        <v/>
      </c>
      <c r="K8" s="4"/>
      <c r="M8" s="5" t="str">
        <f aca="false">Parameter!A9</f>
        <v>Klinik kecantikan / kesehatan</v>
      </c>
      <c r="N8" s="44" t="n">
        <f aca="false">COUNTIFS($B$5:$B$104,M8,$I$5:$I$104,"&gt;0")</f>
        <v>0</v>
      </c>
      <c r="O8" s="21" t="str">
        <f aca="false">IF(N8=0,"-",AVERAGEIFS($I$5:$I$104,$B$5:$B$104,M8,$I$5:$I$104,"&gt;0"))</f>
        <v>-</v>
      </c>
      <c r="P8" s="21" t="n">
        <f aca="false">AVERAGE(Parameter!B9,Parameter!C9)</f>
        <v>0.275</v>
      </c>
    </row>
    <row r="9" customFormat="false" ht="15" hidden="false" customHeight="false" outlineLevel="0" collapsed="false">
      <c r="A9" s="4"/>
      <c r="B9" s="4"/>
      <c r="C9" s="18"/>
      <c r="D9" s="4"/>
      <c r="E9" s="16"/>
      <c r="F9" s="17"/>
      <c r="G9" s="17"/>
      <c r="H9" s="20" t="str">
        <f aca="false">IF(OR(E9="",F9=""),"",E9*F9*12)</f>
        <v/>
      </c>
      <c r="I9" s="21" t="str">
        <f aca="false">IF(OR(G9="",H9="",H9=0),"",G9/H9)</f>
        <v/>
      </c>
      <c r="J9" s="20" t="str">
        <f aca="false">IF(OR(G9="",E9="",E9=0),"",G9/E9)</f>
        <v/>
      </c>
      <c r="K9" s="4"/>
      <c r="M9" s="5" t="str">
        <f aca="false">Parameter!A10</f>
        <v>Furnitur &amp; dekorasi rumah (big-box)</v>
      </c>
      <c r="N9" s="44" t="n">
        <f aca="false">COUNTIFS($B$5:$B$104,M9,$I$5:$I$104,"&gt;0")</f>
        <v>0</v>
      </c>
      <c r="O9" s="21" t="str">
        <f aca="false">IF(N9=0,"-",AVERAGEIFS($I$5:$I$104,$B$5:$B$104,M9,$I$5:$I$104,"&gt;0"))</f>
        <v>-</v>
      </c>
      <c r="P9" s="21" t="n">
        <f aca="false">AVERAGE(Parameter!B10,Parameter!C10)</f>
        <v>0.13</v>
      </c>
    </row>
    <row r="10" customFormat="false" ht="15" hidden="false" customHeight="false" outlineLevel="0" collapsed="false">
      <c r="A10" s="4"/>
      <c r="B10" s="4"/>
      <c r="C10" s="18"/>
      <c r="D10" s="4"/>
      <c r="E10" s="16"/>
      <c r="F10" s="17"/>
      <c r="G10" s="17"/>
      <c r="H10" s="20" t="str">
        <f aca="false">IF(OR(E10="",F10=""),"",E10*F10*12)</f>
        <v/>
      </c>
      <c r="I10" s="21" t="str">
        <f aca="false">IF(OR(G10="",H10="",H10=0),"",G10/H10)</f>
        <v/>
      </c>
      <c r="J10" s="20" t="str">
        <f aca="false">IF(OR(G10="",E10="",E10=0),"",G10/E10)</f>
        <v/>
      </c>
      <c r="K10" s="4"/>
      <c r="M10" s="5" t="str">
        <f aca="false">Parameter!A11</f>
        <v>Perlengkapan rumah &amp; perkakas (big-box)</v>
      </c>
      <c r="N10" s="44" t="n">
        <f aca="false">COUNTIFS($B$5:$B$104,M10,$I$5:$I$104,"&gt;0")</f>
        <v>1</v>
      </c>
      <c r="O10" s="21" t="n">
        <f aca="false">IF(N10=0,"-",AVERAGEIFS($I$5:$I$104,$B$5:$B$104,M10,$I$5:$I$104,"&gt;0"))</f>
        <v>0.108695652173913</v>
      </c>
      <c r="P10" s="21" t="n">
        <f aca="false">AVERAGE(Parameter!B11,Parameter!C11)</f>
        <v>0.11</v>
      </c>
    </row>
    <row r="11" customFormat="false" ht="15" hidden="false" customHeight="false" outlineLevel="0" collapsed="false">
      <c r="A11" s="4"/>
      <c r="B11" s="4"/>
      <c r="C11" s="18"/>
      <c r="D11" s="4"/>
      <c r="E11" s="16"/>
      <c r="F11" s="17"/>
      <c r="G11" s="17"/>
      <c r="H11" s="20" t="str">
        <f aca="false">IF(OR(E11="",F11=""),"",E11*F11*12)</f>
        <v/>
      </c>
      <c r="I11" s="21" t="str">
        <f aca="false">IF(OR(G11="",H11="",H11=0),"",G11/H11)</f>
        <v/>
      </c>
      <c r="J11" s="20" t="str">
        <f aca="false">IF(OR(G11="",E11="",E11=0),"",G11/E11)</f>
        <v/>
      </c>
      <c r="K11" s="4"/>
      <c r="M11" s="5" t="str">
        <f aca="false">Parameter!A12</f>
        <v>Apotek / toko kesehatan</v>
      </c>
      <c r="N11" s="44" t="n">
        <f aca="false">COUNTIFS($B$5:$B$104,M11,$I$5:$I$104,"&gt;0")</f>
        <v>0</v>
      </c>
      <c r="O11" s="21" t="str">
        <f aca="false">IF(N11=0,"-",AVERAGEIFS($I$5:$I$104,$B$5:$B$104,M11,$I$5:$I$104,"&gt;0"))</f>
        <v>-</v>
      </c>
      <c r="P11" s="21" t="n">
        <f aca="false">AVERAGE(Parameter!B12,Parameter!C12)</f>
        <v>0.06</v>
      </c>
    </row>
    <row r="12" customFormat="false" ht="15" hidden="false" customHeight="false" outlineLevel="0" collapsed="false">
      <c r="A12" s="4"/>
      <c r="B12" s="4"/>
      <c r="C12" s="18"/>
      <c r="D12" s="4"/>
      <c r="E12" s="16"/>
      <c r="F12" s="17"/>
      <c r="G12" s="17"/>
      <c r="H12" s="20" t="str">
        <f aca="false">IF(OR(E12="",F12=""),"",E12*F12*12)</f>
        <v/>
      </c>
      <c r="I12" s="21" t="str">
        <f aca="false">IF(OR(G12="",H12="",H12=0),"",G12/H12)</f>
        <v/>
      </c>
      <c r="J12" s="20" t="str">
        <f aca="false">IF(OR(G12="",E12="",E12=0),"",G12/E12)</f>
        <v/>
      </c>
      <c r="K12" s="4"/>
      <c r="M12" s="5" t="str">
        <f aca="false">Parameter!A13</f>
        <v>Minimarket / grocery</v>
      </c>
      <c r="N12" s="44" t="n">
        <f aca="false">COUNTIFS($B$5:$B$104,M12,$I$5:$I$104,"&gt;0")</f>
        <v>0</v>
      </c>
      <c r="O12" s="21" t="str">
        <f aca="false">IF(N12=0,"-",AVERAGEIFS($I$5:$I$104,$B$5:$B$104,M12,$I$5:$I$104,"&gt;0"))</f>
        <v>-</v>
      </c>
      <c r="P12" s="21" t="n">
        <f aca="false">AVERAGE(Parameter!B13,Parameter!C13)</f>
        <v>0.055</v>
      </c>
    </row>
    <row r="13" customFormat="false" ht="15" hidden="false" customHeight="false" outlineLevel="0" collapsed="false">
      <c r="A13" s="4"/>
      <c r="B13" s="4"/>
      <c r="C13" s="18"/>
      <c r="D13" s="4"/>
      <c r="E13" s="16"/>
      <c r="F13" s="17"/>
      <c r="G13" s="17"/>
      <c r="H13" s="20" t="str">
        <f aca="false">IF(OR(E13="",F13=""),"",E13*F13*12)</f>
        <v/>
      </c>
      <c r="I13" s="21" t="str">
        <f aca="false">IF(OR(G13="",H13="",H13=0),"",G13/H13)</f>
        <v/>
      </c>
      <c r="J13" s="20" t="str">
        <f aca="false">IF(OR(G13="",E13="",E13=0),"",G13/E13)</f>
        <v/>
      </c>
      <c r="K13" s="4"/>
      <c r="M13" s="5" t="str">
        <f aca="false">Parameter!A14</f>
        <v>Elektronik / gadget</v>
      </c>
      <c r="N13" s="44" t="n">
        <f aca="false">COUNTIFS($B$5:$B$104,M13,$I$5:$I$104,"&gt;0")</f>
        <v>0</v>
      </c>
      <c r="O13" s="21" t="str">
        <f aca="false">IF(N13=0,"-",AVERAGEIFS($I$5:$I$104,$B$5:$B$104,M13,$I$5:$I$104,"&gt;0"))</f>
        <v>-</v>
      </c>
      <c r="P13" s="21" t="n">
        <f aca="false">AVERAGE(Parameter!B14,Parameter!C14)</f>
        <v>0.065</v>
      </c>
    </row>
    <row r="14" customFormat="false" ht="15" hidden="false" customHeight="false" outlineLevel="0" collapsed="false">
      <c r="A14" s="4"/>
      <c r="B14" s="4"/>
      <c r="C14" s="18"/>
      <c r="D14" s="4"/>
      <c r="E14" s="16"/>
      <c r="F14" s="17"/>
      <c r="G14" s="17"/>
      <c r="H14" s="20" t="str">
        <f aca="false">IF(OR(E14="",F14=""),"",E14*F14*12)</f>
        <v/>
      </c>
      <c r="I14" s="21" t="str">
        <f aca="false">IF(OR(G14="",H14="",H14=0),"",G14/H14)</f>
        <v/>
      </c>
      <c r="J14" s="20" t="str">
        <f aca="false">IF(OR(G14="",E14="",E14=0),"",G14/E14)</f>
        <v/>
      </c>
      <c r="K14" s="4"/>
    </row>
    <row r="15" customFormat="false" ht="45" hidden="false" customHeight="true" outlineLevel="0" collapsed="false">
      <c r="A15" s="4"/>
      <c r="B15" s="4"/>
      <c r="C15" s="18"/>
      <c r="D15" s="4"/>
      <c r="E15" s="16"/>
      <c r="F15" s="17"/>
      <c r="G15" s="17"/>
      <c r="H15" s="20" t="str">
        <f aca="false">IF(OR(E15="",F15=""),"",E15*F15*12)</f>
        <v/>
      </c>
      <c r="I15" s="21" t="str">
        <f aca="false">IF(OR(G15="",H15="",H15=0),"",G15/H15)</f>
        <v/>
      </c>
      <c r="J15" s="20" t="str">
        <f aca="false">IF(OR(G15="",E15="",E15=0),"",G15/E15)</f>
        <v/>
      </c>
      <c r="K15" s="4"/>
      <c r="M15" s="32" t="s">
        <v>237</v>
      </c>
    </row>
    <row r="16" customFormat="false" ht="15" hidden="false" customHeight="false" outlineLevel="0" collapsed="false">
      <c r="A16" s="4"/>
      <c r="B16" s="4"/>
      <c r="C16" s="18"/>
      <c r="D16" s="4"/>
      <c r="E16" s="16"/>
      <c r="F16" s="17"/>
      <c r="G16" s="17"/>
      <c r="H16" s="20" t="str">
        <f aca="false">IF(OR(E16="",F16=""),"",E16*F16*12)</f>
        <v/>
      </c>
      <c r="I16" s="21" t="str">
        <f aca="false">IF(OR(G16="",H16="",H16=0),"",G16/H16)</f>
        <v/>
      </c>
      <c r="J16" s="20" t="str">
        <f aca="false">IF(OR(G16="",E16="",E16=0),"",G16/E16)</f>
        <v/>
      </c>
      <c r="K16" s="4"/>
    </row>
    <row r="17" customFormat="false" ht="15" hidden="false" customHeight="false" outlineLevel="0" collapsed="false">
      <c r="A17" s="4"/>
      <c r="B17" s="4"/>
      <c r="C17" s="18"/>
      <c r="D17" s="4"/>
      <c r="E17" s="16"/>
      <c r="F17" s="17"/>
      <c r="G17" s="17"/>
      <c r="H17" s="20" t="str">
        <f aca="false">IF(OR(E17="",F17=""),"",E17*F17*12)</f>
        <v/>
      </c>
      <c r="I17" s="21" t="str">
        <f aca="false">IF(OR(G17="",H17="",H17=0),"",G17/H17)</f>
        <v/>
      </c>
      <c r="J17" s="20" t="str">
        <f aca="false">IF(OR(G17="",E17="",E17=0),"",G17/E17)</f>
        <v/>
      </c>
      <c r="K17" s="4"/>
    </row>
    <row r="18" customFormat="false" ht="15" hidden="false" customHeight="false" outlineLevel="0" collapsed="false">
      <c r="A18" s="4"/>
      <c r="B18" s="4"/>
      <c r="C18" s="18"/>
      <c r="D18" s="4"/>
      <c r="E18" s="16"/>
      <c r="F18" s="17"/>
      <c r="G18" s="17"/>
      <c r="H18" s="20" t="str">
        <f aca="false">IF(OR(E18="",F18=""),"",E18*F18*12)</f>
        <v/>
      </c>
      <c r="I18" s="21" t="str">
        <f aca="false">IF(OR(G18="",H18="",H18=0),"",G18/H18)</f>
        <v/>
      </c>
      <c r="J18" s="20" t="str">
        <f aca="false">IF(OR(G18="",E18="",E18=0),"",G18/E18)</f>
        <v/>
      </c>
      <c r="K18" s="4"/>
    </row>
    <row r="19" customFormat="false" ht="15" hidden="false" customHeight="false" outlineLevel="0" collapsed="false">
      <c r="A19" s="4"/>
      <c r="B19" s="4"/>
      <c r="C19" s="18"/>
      <c r="D19" s="4"/>
      <c r="E19" s="16"/>
      <c r="F19" s="17"/>
      <c r="G19" s="17"/>
      <c r="H19" s="20" t="str">
        <f aca="false">IF(OR(E19="",F19=""),"",E19*F19*12)</f>
        <v/>
      </c>
      <c r="I19" s="21" t="str">
        <f aca="false">IF(OR(G19="",H19="",H19=0),"",G19/H19)</f>
        <v/>
      </c>
      <c r="J19" s="20" t="str">
        <f aca="false">IF(OR(G19="",E19="",E19=0),"",G19/E19)</f>
        <v/>
      </c>
      <c r="K19" s="4"/>
    </row>
    <row r="20" customFormat="false" ht="15" hidden="false" customHeight="false" outlineLevel="0" collapsed="false">
      <c r="A20" s="4"/>
      <c r="B20" s="4"/>
      <c r="C20" s="18"/>
      <c r="D20" s="4"/>
      <c r="E20" s="16"/>
      <c r="F20" s="17"/>
      <c r="G20" s="17"/>
      <c r="H20" s="20" t="str">
        <f aca="false">IF(OR(E20="",F20=""),"",E20*F20*12)</f>
        <v/>
      </c>
      <c r="I20" s="21" t="str">
        <f aca="false">IF(OR(G20="",H20="",H20=0),"",G20/H20)</f>
        <v/>
      </c>
      <c r="J20" s="20" t="str">
        <f aca="false">IF(OR(G20="",E20="",E20=0),"",G20/E20)</f>
        <v/>
      </c>
      <c r="K20" s="4"/>
    </row>
    <row r="21" customFormat="false" ht="15" hidden="false" customHeight="false" outlineLevel="0" collapsed="false">
      <c r="A21" s="4"/>
      <c r="B21" s="4"/>
      <c r="C21" s="18"/>
      <c r="D21" s="4"/>
      <c r="E21" s="16"/>
      <c r="F21" s="17"/>
      <c r="G21" s="17"/>
      <c r="H21" s="20" t="str">
        <f aca="false">IF(OR(E21="",F21=""),"",E21*F21*12)</f>
        <v/>
      </c>
      <c r="I21" s="21" t="str">
        <f aca="false">IF(OR(G21="",H21="",H21=0),"",G21/H21)</f>
        <v/>
      </c>
      <c r="J21" s="20" t="str">
        <f aca="false">IF(OR(G21="",E21="",E21=0),"",G21/E21)</f>
        <v/>
      </c>
      <c r="K21" s="4"/>
    </row>
    <row r="22" customFormat="false" ht="15" hidden="false" customHeight="false" outlineLevel="0" collapsed="false">
      <c r="A22" s="4"/>
      <c r="B22" s="4"/>
      <c r="C22" s="18"/>
      <c r="D22" s="4"/>
      <c r="E22" s="16"/>
      <c r="F22" s="17"/>
      <c r="G22" s="17"/>
      <c r="H22" s="20" t="str">
        <f aca="false">IF(OR(E22="",F22=""),"",E22*F22*12)</f>
        <v/>
      </c>
      <c r="I22" s="21" t="str">
        <f aca="false">IF(OR(G22="",H22="",H22=0),"",G22/H22)</f>
        <v/>
      </c>
      <c r="J22" s="20" t="str">
        <f aca="false">IF(OR(G22="",E22="",E22=0),"",G22/E22)</f>
        <v/>
      </c>
      <c r="K22" s="4"/>
    </row>
    <row r="23" customFormat="false" ht="15" hidden="false" customHeight="false" outlineLevel="0" collapsed="false">
      <c r="A23" s="4"/>
      <c r="B23" s="4"/>
      <c r="C23" s="18"/>
      <c r="D23" s="4"/>
      <c r="E23" s="16"/>
      <c r="F23" s="17"/>
      <c r="G23" s="17"/>
      <c r="H23" s="20" t="str">
        <f aca="false">IF(OR(E23="",F23=""),"",E23*F23*12)</f>
        <v/>
      </c>
      <c r="I23" s="21" t="str">
        <f aca="false">IF(OR(G23="",H23="",H23=0),"",G23/H23)</f>
        <v/>
      </c>
      <c r="J23" s="20" t="str">
        <f aca="false">IF(OR(G23="",E23="",E23=0),"",G23/E23)</f>
        <v/>
      </c>
      <c r="K23" s="4"/>
    </row>
    <row r="24" customFormat="false" ht="15" hidden="false" customHeight="false" outlineLevel="0" collapsed="false">
      <c r="A24" s="4"/>
      <c r="B24" s="4"/>
      <c r="C24" s="18"/>
      <c r="D24" s="4"/>
      <c r="E24" s="16"/>
      <c r="F24" s="17"/>
      <c r="G24" s="17"/>
      <c r="H24" s="20" t="str">
        <f aca="false">IF(OR(E24="",F24=""),"",E24*F24*12)</f>
        <v/>
      </c>
      <c r="I24" s="21" t="str">
        <f aca="false">IF(OR(G24="",H24="",H24=0),"",G24/H24)</f>
        <v/>
      </c>
      <c r="J24" s="20" t="str">
        <f aca="false">IF(OR(G24="",E24="",E24=0),"",G24/E24)</f>
        <v/>
      </c>
      <c r="K24" s="4"/>
    </row>
    <row r="25" customFormat="false" ht="15" hidden="false" customHeight="false" outlineLevel="0" collapsed="false">
      <c r="A25" s="4"/>
      <c r="B25" s="4"/>
      <c r="C25" s="18"/>
      <c r="D25" s="4"/>
      <c r="E25" s="16"/>
      <c r="F25" s="17"/>
      <c r="G25" s="17"/>
      <c r="H25" s="20" t="str">
        <f aca="false">IF(OR(E25="",F25=""),"",E25*F25*12)</f>
        <v/>
      </c>
      <c r="I25" s="21" t="str">
        <f aca="false">IF(OR(G25="",H25="",H25=0),"",G25/H25)</f>
        <v/>
      </c>
      <c r="J25" s="20" t="str">
        <f aca="false">IF(OR(G25="",E25="",E25=0),"",G25/E25)</f>
        <v/>
      </c>
      <c r="K25" s="4"/>
    </row>
    <row r="26" customFormat="false" ht="15" hidden="false" customHeight="false" outlineLevel="0" collapsed="false">
      <c r="A26" s="4"/>
      <c r="B26" s="4"/>
      <c r="C26" s="18"/>
      <c r="D26" s="4"/>
      <c r="E26" s="16"/>
      <c r="F26" s="17"/>
      <c r="G26" s="17"/>
      <c r="H26" s="20" t="str">
        <f aca="false">IF(OR(E26="",F26=""),"",E26*F26*12)</f>
        <v/>
      </c>
      <c r="I26" s="21" t="str">
        <f aca="false">IF(OR(G26="",H26="",H26=0),"",G26/H26)</f>
        <v/>
      </c>
      <c r="J26" s="20" t="str">
        <f aca="false">IF(OR(G26="",E26="",E26=0),"",G26/E26)</f>
        <v/>
      </c>
      <c r="K26" s="4"/>
    </row>
    <row r="27" customFormat="false" ht="15" hidden="false" customHeight="false" outlineLevel="0" collapsed="false">
      <c r="A27" s="4"/>
      <c r="B27" s="4"/>
      <c r="C27" s="18"/>
      <c r="D27" s="4"/>
      <c r="E27" s="16"/>
      <c r="F27" s="17"/>
      <c r="G27" s="17"/>
      <c r="H27" s="20" t="str">
        <f aca="false">IF(OR(E27="",F27=""),"",E27*F27*12)</f>
        <v/>
      </c>
      <c r="I27" s="21" t="str">
        <f aca="false">IF(OR(G27="",H27="",H27=0),"",G27/H27)</f>
        <v/>
      </c>
      <c r="J27" s="20" t="str">
        <f aca="false">IF(OR(G27="",E27="",E27=0),"",G27/E27)</f>
        <v/>
      </c>
      <c r="K27" s="4"/>
    </row>
    <row r="28" customFormat="false" ht="15" hidden="false" customHeight="false" outlineLevel="0" collapsed="false">
      <c r="A28" s="4"/>
      <c r="B28" s="4"/>
      <c r="C28" s="18"/>
      <c r="D28" s="4"/>
      <c r="E28" s="16"/>
      <c r="F28" s="17"/>
      <c r="G28" s="17"/>
      <c r="H28" s="20" t="str">
        <f aca="false">IF(OR(E28="",F28=""),"",E28*F28*12)</f>
        <v/>
      </c>
      <c r="I28" s="21" t="str">
        <f aca="false">IF(OR(G28="",H28="",H28=0),"",G28/H28)</f>
        <v/>
      </c>
      <c r="J28" s="20" t="str">
        <f aca="false">IF(OR(G28="",E28="",E28=0),"",G28/E28)</f>
        <v/>
      </c>
      <c r="K28" s="4"/>
    </row>
    <row r="29" customFormat="false" ht="15" hidden="false" customHeight="false" outlineLevel="0" collapsed="false">
      <c r="A29" s="4"/>
      <c r="B29" s="4"/>
      <c r="C29" s="18"/>
      <c r="D29" s="4"/>
      <c r="E29" s="16"/>
      <c r="F29" s="17"/>
      <c r="G29" s="17"/>
      <c r="H29" s="20" t="str">
        <f aca="false">IF(OR(E29="",F29=""),"",E29*F29*12)</f>
        <v/>
      </c>
      <c r="I29" s="21" t="str">
        <f aca="false">IF(OR(G29="",H29="",H29=0),"",G29/H29)</f>
        <v/>
      </c>
      <c r="J29" s="20" t="str">
        <f aca="false">IF(OR(G29="",E29="",E29=0),"",G29/E29)</f>
        <v/>
      </c>
      <c r="K29" s="4"/>
    </row>
    <row r="30" customFormat="false" ht="15" hidden="false" customHeight="false" outlineLevel="0" collapsed="false">
      <c r="A30" s="4"/>
      <c r="B30" s="4"/>
      <c r="C30" s="18"/>
      <c r="D30" s="4"/>
      <c r="E30" s="16"/>
      <c r="F30" s="17"/>
      <c r="G30" s="17"/>
      <c r="H30" s="20" t="str">
        <f aca="false">IF(OR(E30="",F30=""),"",E30*F30*12)</f>
        <v/>
      </c>
      <c r="I30" s="21" t="str">
        <f aca="false">IF(OR(G30="",H30="",H30=0),"",G30/H30)</f>
        <v/>
      </c>
      <c r="J30" s="20" t="str">
        <f aca="false">IF(OR(G30="",E30="",E30=0),"",G30/E30)</f>
        <v/>
      </c>
      <c r="K30" s="4"/>
    </row>
    <row r="31" customFormat="false" ht="15" hidden="false" customHeight="false" outlineLevel="0" collapsed="false">
      <c r="A31" s="4"/>
      <c r="B31" s="4"/>
      <c r="C31" s="18"/>
      <c r="D31" s="4"/>
      <c r="E31" s="16"/>
      <c r="F31" s="17"/>
      <c r="G31" s="17"/>
      <c r="H31" s="20" t="str">
        <f aca="false">IF(OR(E31="",F31=""),"",E31*F31*12)</f>
        <v/>
      </c>
      <c r="I31" s="21" t="str">
        <f aca="false">IF(OR(G31="",H31="",H31=0),"",G31/H31)</f>
        <v/>
      </c>
      <c r="J31" s="20" t="str">
        <f aca="false">IF(OR(G31="",E31="",E31=0),"",G31/E31)</f>
        <v/>
      </c>
      <c r="K31" s="4"/>
    </row>
    <row r="32" customFormat="false" ht="15" hidden="false" customHeight="false" outlineLevel="0" collapsed="false">
      <c r="A32" s="4"/>
      <c r="B32" s="4"/>
      <c r="C32" s="18"/>
      <c r="D32" s="4"/>
      <c r="E32" s="16"/>
      <c r="F32" s="17"/>
      <c r="G32" s="17"/>
      <c r="H32" s="20" t="str">
        <f aca="false">IF(OR(E32="",F32=""),"",E32*F32*12)</f>
        <v/>
      </c>
      <c r="I32" s="21" t="str">
        <f aca="false">IF(OR(G32="",H32="",H32=0),"",G32/H32)</f>
        <v/>
      </c>
      <c r="J32" s="20" t="str">
        <f aca="false">IF(OR(G32="",E32="",E32=0),"",G32/E32)</f>
        <v/>
      </c>
      <c r="K32" s="4"/>
    </row>
    <row r="33" customFormat="false" ht="15" hidden="false" customHeight="false" outlineLevel="0" collapsed="false">
      <c r="A33" s="4"/>
      <c r="B33" s="4"/>
      <c r="C33" s="18"/>
      <c r="D33" s="4"/>
      <c r="E33" s="16"/>
      <c r="F33" s="17"/>
      <c r="G33" s="17"/>
      <c r="H33" s="20" t="str">
        <f aca="false">IF(OR(E33="",F33=""),"",E33*F33*12)</f>
        <v/>
      </c>
      <c r="I33" s="21" t="str">
        <f aca="false">IF(OR(G33="",H33="",H33=0),"",G33/H33)</f>
        <v/>
      </c>
      <c r="J33" s="20" t="str">
        <f aca="false">IF(OR(G33="",E33="",E33=0),"",G33/E33)</f>
        <v/>
      </c>
      <c r="K33" s="4"/>
    </row>
    <row r="34" customFormat="false" ht="15" hidden="false" customHeight="false" outlineLevel="0" collapsed="false">
      <c r="A34" s="4"/>
      <c r="B34" s="4"/>
      <c r="C34" s="18"/>
      <c r="D34" s="4"/>
      <c r="E34" s="16"/>
      <c r="F34" s="17"/>
      <c r="G34" s="17"/>
      <c r="H34" s="20" t="str">
        <f aca="false">IF(OR(E34="",F34=""),"",E34*F34*12)</f>
        <v/>
      </c>
      <c r="I34" s="21" t="str">
        <f aca="false">IF(OR(G34="",H34="",H34=0),"",G34/H34)</f>
        <v/>
      </c>
      <c r="J34" s="20" t="str">
        <f aca="false">IF(OR(G34="",E34="",E34=0),"",G34/E34)</f>
        <v/>
      </c>
      <c r="K34" s="4"/>
    </row>
    <row r="35" customFormat="false" ht="15" hidden="false" customHeight="false" outlineLevel="0" collapsed="false">
      <c r="A35" s="4"/>
      <c r="B35" s="4"/>
      <c r="C35" s="18"/>
      <c r="D35" s="4"/>
      <c r="E35" s="16"/>
      <c r="F35" s="17"/>
      <c r="G35" s="17"/>
      <c r="H35" s="20" t="str">
        <f aca="false">IF(OR(E35="",F35=""),"",E35*F35*12)</f>
        <v/>
      </c>
      <c r="I35" s="21" t="str">
        <f aca="false">IF(OR(G35="",H35="",H35=0),"",G35/H35)</f>
        <v/>
      </c>
      <c r="J35" s="20" t="str">
        <f aca="false">IF(OR(G35="",E35="",E35=0),"",G35/E35)</f>
        <v/>
      </c>
      <c r="K35" s="4"/>
    </row>
    <row r="36" customFormat="false" ht="15" hidden="false" customHeight="false" outlineLevel="0" collapsed="false">
      <c r="A36" s="4"/>
      <c r="B36" s="4"/>
      <c r="C36" s="18"/>
      <c r="D36" s="4"/>
      <c r="E36" s="16"/>
      <c r="F36" s="17"/>
      <c r="G36" s="17"/>
      <c r="H36" s="20" t="str">
        <f aca="false">IF(OR(E36="",F36=""),"",E36*F36*12)</f>
        <v/>
      </c>
      <c r="I36" s="21" t="str">
        <f aca="false">IF(OR(G36="",H36="",H36=0),"",G36/H36)</f>
        <v/>
      </c>
      <c r="J36" s="20" t="str">
        <f aca="false">IF(OR(G36="",E36="",E36=0),"",G36/E36)</f>
        <v/>
      </c>
      <c r="K36" s="4"/>
    </row>
    <row r="37" customFormat="false" ht="15" hidden="false" customHeight="false" outlineLevel="0" collapsed="false">
      <c r="A37" s="4"/>
      <c r="B37" s="4"/>
      <c r="C37" s="18"/>
      <c r="D37" s="4"/>
      <c r="E37" s="16"/>
      <c r="F37" s="17"/>
      <c r="G37" s="17"/>
      <c r="H37" s="20" t="str">
        <f aca="false">IF(OR(E37="",F37=""),"",E37*F37*12)</f>
        <v/>
      </c>
      <c r="I37" s="21" t="str">
        <f aca="false">IF(OR(G37="",H37="",H37=0),"",G37/H37)</f>
        <v/>
      </c>
      <c r="J37" s="20" t="str">
        <f aca="false">IF(OR(G37="",E37="",E37=0),"",G37/E37)</f>
        <v/>
      </c>
      <c r="K37" s="4"/>
    </row>
    <row r="38" customFormat="false" ht="15" hidden="false" customHeight="false" outlineLevel="0" collapsed="false">
      <c r="A38" s="4"/>
      <c r="B38" s="4"/>
      <c r="C38" s="18"/>
      <c r="D38" s="4"/>
      <c r="E38" s="16"/>
      <c r="F38" s="17"/>
      <c r="G38" s="17"/>
      <c r="H38" s="20" t="str">
        <f aca="false">IF(OR(E38="",F38=""),"",E38*F38*12)</f>
        <v/>
      </c>
      <c r="I38" s="21" t="str">
        <f aca="false">IF(OR(G38="",H38="",H38=0),"",G38/H38)</f>
        <v/>
      </c>
      <c r="J38" s="20" t="str">
        <f aca="false">IF(OR(G38="",E38="",E38=0),"",G38/E38)</f>
        <v/>
      </c>
      <c r="K38" s="4"/>
    </row>
    <row r="39" customFormat="false" ht="15" hidden="false" customHeight="false" outlineLevel="0" collapsed="false">
      <c r="A39" s="4"/>
      <c r="B39" s="4"/>
      <c r="C39" s="18"/>
      <c r="D39" s="4"/>
      <c r="E39" s="16"/>
      <c r="F39" s="17"/>
      <c r="G39" s="17"/>
      <c r="H39" s="20" t="str">
        <f aca="false">IF(OR(E39="",F39=""),"",E39*F39*12)</f>
        <v/>
      </c>
      <c r="I39" s="21" t="str">
        <f aca="false">IF(OR(G39="",H39="",H39=0),"",G39/H39)</f>
        <v/>
      </c>
      <c r="J39" s="20" t="str">
        <f aca="false">IF(OR(G39="",E39="",E39=0),"",G39/E39)</f>
        <v/>
      </c>
      <c r="K39" s="4"/>
    </row>
    <row r="40" customFormat="false" ht="15" hidden="false" customHeight="false" outlineLevel="0" collapsed="false">
      <c r="A40" s="4"/>
      <c r="B40" s="4"/>
      <c r="C40" s="18"/>
      <c r="D40" s="4"/>
      <c r="E40" s="16"/>
      <c r="F40" s="17"/>
      <c r="G40" s="17"/>
      <c r="H40" s="20" t="str">
        <f aca="false">IF(OR(E40="",F40=""),"",E40*F40*12)</f>
        <v/>
      </c>
      <c r="I40" s="21" t="str">
        <f aca="false">IF(OR(G40="",H40="",H40=0),"",G40/H40)</f>
        <v/>
      </c>
      <c r="J40" s="20" t="str">
        <f aca="false">IF(OR(G40="",E40="",E40=0),"",G40/E40)</f>
        <v/>
      </c>
      <c r="K40" s="4"/>
    </row>
    <row r="41" customFormat="false" ht="15" hidden="false" customHeight="false" outlineLevel="0" collapsed="false">
      <c r="A41" s="4"/>
      <c r="B41" s="4"/>
      <c r="C41" s="18"/>
      <c r="D41" s="4"/>
      <c r="E41" s="16"/>
      <c r="F41" s="17"/>
      <c r="G41" s="17"/>
      <c r="H41" s="20" t="str">
        <f aca="false">IF(OR(E41="",F41=""),"",E41*F41*12)</f>
        <v/>
      </c>
      <c r="I41" s="21" t="str">
        <f aca="false">IF(OR(G41="",H41="",H41=0),"",G41/H41)</f>
        <v/>
      </c>
      <c r="J41" s="20" t="str">
        <f aca="false">IF(OR(G41="",E41="",E41=0),"",G41/E41)</f>
        <v/>
      </c>
      <c r="K41" s="4"/>
    </row>
    <row r="42" customFormat="false" ht="15" hidden="false" customHeight="false" outlineLevel="0" collapsed="false">
      <c r="A42" s="4"/>
      <c r="B42" s="4"/>
      <c r="C42" s="18"/>
      <c r="D42" s="4"/>
      <c r="E42" s="16"/>
      <c r="F42" s="17"/>
      <c r="G42" s="17"/>
      <c r="H42" s="20" t="str">
        <f aca="false">IF(OR(E42="",F42=""),"",E42*F42*12)</f>
        <v/>
      </c>
      <c r="I42" s="21" t="str">
        <f aca="false">IF(OR(G42="",H42="",H42=0),"",G42/H42)</f>
        <v/>
      </c>
      <c r="J42" s="20" t="str">
        <f aca="false">IF(OR(G42="",E42="",E42=0),"",G42/E42)</f>
        <v/>
      </c>
      <c r="K42" s="4"/>
    </row>
    <row r="43" customFormat="false" ht="15" hidden="false" customHeight="false" outlineLevel="0" collapsed="false">
      <c r="A43" s="4"/>
      <c r="B43" s="4"/>
      <c r="C43" s="18"/>
      <c r="D43" s="4"/>
      <c r="E43" s="16"/>
      <c r="F43" s="17"/>
      <c r="G43" s="17"/>
      <c r="H43" s="20" t="str">
        <f aca="false">IF(OR(E43="",F43=""),"",E43*F43*12)</f>
        <v/>
      </c>
      <c r="I43" s="21" t="str">
        <f aca="false">IF(OR(G43="",H43="",H43=0),"",G43/H43)</f>
        <v/>
      </c>
      <c r="J43" s="20" t="str">
        <f aca="false">IF(OR(G43="",E43="",E43=0),"",G43/E43)</f>
        <v/>
      </c>
      <c r="K43" s="4"/>
    </row>
    <row r="44" customFormat="false" ht="15" hidden="false" customHeight="false" outlineLevel="0" collapsed="false">
      <c r="A44" s="4"/>
      <c r="B44" s="4"/>
      <c r="C44" s="18"/>
      <c r="D44" s="4"/>
      <c r="E44" s="16"/>
      <c r="F44" s="17"/>
      <c r="G44" s="17"/>
      <c r="H44" s="20" t="str">
        <f aca="false">IF(OR(E44="",F44=""),"",E44*F44*12)</f>
        <v/>
      </c>
      <c r="I44" s="21" t="str">
        <f aca="false">IF(OR(G44="",H44="",H44=0),"",G44/H44)</f>
        <v/>
      </c>
      <c r="J44" s="20" t="str">
        <f aca="false">IF(OR(G44="",E44="",E44=0),"",G44/E44)</f>
        <v/>
      </c>
      <c r="K44" s="4"/>
    </row>
    <row r="45" customFormat="false" ht="15" hidden="false" customHeight="false" outlineLevel="0" collapsed="false">
      <c r="A45" s="4"/>
      <c r="B45" s="4"/>
      <c r="C45" s="18"/>
      <c r="D45" s="4"/>
      <c r="E45" s="16"/>
      <c r="F45" s="17"/>
      <c r="G45" s="17"/>
      <c r="H45" s="20" t="str">
        <f aca="false">IF(OR(E45="",F45=""),"",E45*F45*12)</f>
        <v/>
      </c>
      <c r="I45" s="21" t="str">
        <f aca="false">IF(OR(G45="",H45="",H45=0),"",G45/H45)</f>
        <v/>
      </c>
      <c r="J45" s="20" t="str">
        <f aca="false">IF(OR(G45="",E45="",E45=0),"",G45/E45)</f>
        <v/>
      </c>
      <c r="K45" s="4"/>
    </row>
    <row r="46" customFormat="false" ht="15" hidden="false" customHeight="false" outlineLevel="0" collapsed="false">
      <c r="A46" s="4"/>
      <c r="B46" s="4"/>
      <c r="C46" s="18"/>
      <c r="D46" s="4"/>
      <c r="E46" s="16"/>
      <c r="F46" s="17"/>
      <c r="G46" s="17"/>
      <c r="H46" s="20" t="str">
        <f aca="false">IF(OR(E46="",F46=""),"",E46*F46*12)</f>
        <v/>
      </c>
      <c r="I46" s="21" t="str">
        <f aca="false">IF(OR(G46="",H46="",H46=0),"",G46/H46)</f>
        <v/>
      </c>
      <c r="J46" s="20" t="str">
        <f aca="false">IF(OR(G46="",E46="",E46=0),"",G46/E46)</f>
        <v/>
      </c>
      <c r="K46" s="4"/>
    </row>
    <row r="47" customFormat="false" ht="15" hidden="false" customHeight="false" outlineLevel="0" collapsed="false">
      <c r="A47" s="4"/>
      <c r="B47" s="4"/>
      <c r="C47" s="18"/>
      <c r="D47" s="4"/>
      <c r="E47" s="16"/>
      <c r="F47" s="17"/>
      <c r="G47" s="17"/>
      <c r="H47" s="20" t="str">
        <f aca="false">IF(OR(E47="",F47=""),"",E47*F47*12)</f>
        <v/>
      </c>
      <c r="I47" s="21" t="str">
        <f aca="false">IF(OR(G47="",H47="",H47=0),"",G47/H47)</f>
        <v/>
      </c>
      <c r="J47" s="20" t="str">
        <f aca="false">IF(OR(G47="",E47="",E47=0),"",G47/E47)</f>
        <v/>
      </c>
      <c r="K47" s="4"/>
    </row>
    <row r="48" customFormat="false" ht="15" hidden="false" customHeight="false" outlineLevel="0" collapsed="false">
      <c r="A48" s="4"/>
      <c r="B48" s="4"/>
      <c r="C48" s="18"/>
      <c r="D48" s="4"/>
      <c r="E48" s="16"/>
      <c r="F48" s="17"/>
      <c r="G48" s="17"/>
      <c r="H48" s="20" t="str">
        <f aca="false">IF(OR(E48="",F48=""),"",E48*F48*12)</f>
        <v/>
      </c>
      <c r="I48" s="21" t="str">
        <f aca="false">IF(OR(G48="",H48="",H48=0),"",G48/H48)</f>
        <v/>
      </c>
      <c r="J48" s="20" t="str">
        <f aca="false">IF(OR(G48="",E48="",E48=0),"",G48/E48)</f>
        <v/>
      </c>
      <c r="K48" s="4"/>
    </row>
    <row r="49" customFormat="false" ht="15" hidden="false" customHeight="false" outlineLevel="0" collapsed="false">
      <c r="A49" s="4"/>
      <c r="B49" s="4"/>
      <c r="C49" s="18"/>
      <c r="D49" s="4"/>
      <c r="E49" s="16"/>
      <c r="F49" s="17"/>
      <c r="G49" s="17"/>
      <c r="H49" s="20" t="str">
        <f aca="false">IF(OR(E49="",F49=""),"",E49*F49*12)</f>
        <v/>
      </c>
      <c r="I49" s="21" t="str">
        <f aca="false">IF(OR(G49="",H49="",H49=0),"",G49/H49)</f>
        <v/>
      </c>
      <c r="J49" s="20" t="str">
        <f aca="false">IF(OR(G49="",E49="",E49=0),"",G49/E49)</f>
        <v/>
      </c>
      <c r="K49" s="4"/>
    </row>
    <row r="50" customFormat="false" ht="15" hidden="false" customHeight="false" outlineLevel="0" collapsed="false">
      <c r="A50" s="4"/>
      <c r="B50" s="4"/>
      <c r="C50" s="18"/>
      <c r="D50" s="4"/>
      <c r="E50" s="16"/>
      <c r="F50" s="17"/>
      <c r="G50" s="17"/>
      <c r="H50" s="20" t="str">
        <f aca="false">IF(OR(E50="",F50=""),"",E50*F50*12)</f>
        <v/>
      </c>
      <c r="I50" s="21" t="str">
        <f aca="false">IF(OR(G50="",H50="",H50=0),"",G50/H50)</f>
        <v/>
      </c>
      <c r="J50" s="20" t="str">
        <f aca="false">IF(OR(G50="",E50="",E50=0),"",G50/E50)</f>
        <v/>
      </c>
      <c r="K50" s="4"/>
    </row>
    <row r="51" customFormat="false" ht="15" hidden="false" customHeight="false" outlineLevel="0" collapsed="false">
      <c r="A51" s="4"/>
      <c r="B51" s="4"/>
      <c r="C51" s="18"/>
      <c r="D51" s="4"/>
      <c r="E51" s="16"/>
      <c r="F51" s="17"/>
      <c r="G51" s="17"/>
      <c r="H51" s="20" t="str">
        <f aca="false">IF(OR(E51="",F51=""),"",E51*F51*12)</f>
        <v/>
      </c>
      <c r="I51" s="21" t="str">
        <f aca="false">IF(OR(G51="",H51="",H51=0),"",G51/H51)</f>
        <v/>
      </c>
      <c r="J51" s="20" t="str">
        <f aca="false">IF(OR(G51="",E51="",E51=0),"",G51/E51)</f>
        <v/>
      </c>
      <c r="K51" s="4"/>
    </row>
    <row r="52" customFormat="false" ht="15" hidden="false" customHeight="false" outlineLevel="0" collapsed="false">
      <c r="A52" s="4"/>
      <c r="B52" s="4"/>
      <c r="C52" s="18"/>
      <c r="D52" s="4"/>
      <c r="E52" s="16"/>
      <c r="F52" s="17"/>
      <c r="G52" s="17"/>
      <c r="H52" s="20" t="str">
        <f aca="false">IF(OR(E52="",F52=""),"",E52*F52*12)</f>
        <v/>
      </c>
      <c r="I52" s="21" t="str">
        <f aca="false">IF(OR(G52="",H52="",H52=0),"",G52/H52)</f>
        <v/>
      </c>
      <c r="J52" s="20" t="str">
        <f aca="false">IF(OR(G52="",E52="",E52=0),"",G52/E52)</f>
        <v/>
      </c>
      <c r="K52" s="4"/>
    </row>
    <row r="53" customFormat="false" ht="15" hidden="false" customHeight="false" outlineLevel="0" collapsed="false">
      <c r="A53" s="4"/>
      <c r="B53" s="4"/>
      <c r="C53" s="18"/>
      <c r="D53" s="4"/>
      <c r="E53" s="16"/>
      <c r="F53" s="17"/>
      <c r="G53" s="17"/>
      <c r="H53" s="20" t="str">
        <f aca="false">IF(OR(E53="",F53=""),"",E53*F53*12)</f>
        <v/>
      </c>
      <c r="I53" s="21" t="str">
        <f aca="false">IF(OR(G53="",H53="",H53=0),"",G53/H53)</f>
        <v/>
      </c>
      <c r="J53" s="20" t="str">
        <f aca="false">IF(OR(G53="",E53="",E53=0),"",G53/E53)</f>
        <v/>
      </c>
      <c r="K53" s="4"/>
    </row>
    <row r="54" customFormat="false" ht="15" hidden="false" customHeight="false" outlineLevel="0" collapsed="false">
      <c r="A54" s="4"/>
      <c r="B54" s="4"/>
      <c r="C54" s="18"/>
      <c r="D54" s="4"/>
      <c r="E54" s="16"/>
      <c r="F54" s="17"/>
      <c r="G54" s="17"/>
      <c r="H54" s="20" t="str">
        <f aca="false">IF(OR(E54="",F54=""),"",E54*F54*12)</f>
        <v/>
      </c>
      <c r="I54" s="21" t="str">
        <f aca="false">IF(OR(G54="",H54="",H54=0),"",G54/H54)</f>
        <v/>
      </c>
      <c r="J54" s="20" t="str">
        <f aca="false">IF(OR(G54="",E54="",E54=0),"",G54/E54)</f>
        <v/>
      </c>
      <c r="K54" s="4"/>
    </row>
    <row r="55" customFormat="false" ht="15" hidden="false" customHeight="false" outlineLevel="0" collapsed="false">
      <c r="A55" s="4"/>
      <c r="B55" s="4"/>
      <c r="C55" s="18"/>
      <c r="D55" s="4"/>
      <c r="E55" s="16"/>
      <c r="F55" s="17"/>
      <c r="G55" s="17"/>
      <c r="H55" s="20" t="str">
        <f aca="false">IF(OR(E55="",F55=""),"",E55*F55*12)</f>
        <v/>
      </c>
      <c r="I55" s="21" t="str">
        <f aca="false">IF(OR(G55="",H55="",H55=0),"",G55/H55)</f>
        <v/>
      </c>
      <c r="J55" s="20" t="str">
        <f aca="false">IF(OR(G55="",E55="",E55=0),"",G55/E55)</f>
        <v/>
      </c>
      <c r="K55" s="4"/>
    </row>
    <row r="56" customFormat="false" ht="15" hidden="false" customHeight="false" outlineLevel="0" collapsed="false">
      <c r="A56" s="4"/>
      <c r="B56" s="4"/>
      <c r="C56" s="18"/>
      <c r="D56" s="4"/>
      <c r="E56" s="16"/>
      <c r="F56" s="17"/>
      <c r="G56" s="17"/>
      <c r="H56" s="20" t="str">
        <f aca="false">IF(OR(E56="",F56=""),"",E56*F56*12)</f>
        <v/>
      </c>
      <c r="I56" s="21" t="str">
        <f aca="false">IF(OR(G56="",H56="",H56=0),"",G56/H56)</f>
        <v/>
      </c>
      <c r="J56" s="20" t="str">
        <f aca="false">IF(OR(G56="",E56="",E56=0),"",G56/E56)</f>
        <v/>
      </c>
      <c r="K56" s="4"/>
    </row>
    <row r="57" customFormat="false" ht="15" hidden="false" customHeight="false" outlineLevel="0" collapsed="false">
      <c r="A57" s="4"/>
      <c r="B57" s="4"/>
      <c r="C57" s="18"/>
      <c r="D57" s="4"/>
      <c r="E57" s="16"/>
      <c r="F57" s="17"/>
      <c r="G57" s="17"/>
      <c r="H57" s="20" t="str">
        <f aca="false">IF(OR(E57="",F57=""),"",E57*F57*12)</f>
        <v/>
      </c>
      <c r="I57" s="21" t="str">
        <f aca="false">IF(OR(G57="",H57="",H57=0),"",G57/H57)</f>
        <v/>
      </c>
      <c r="J57" s="20" t="str">
        <f aca="false">IF(OR(G57="",E57="",E57=0),"",G57/E57)</f>
        <v/>
      </c>
      <c r="K57" s="4"/>
    </row>
    <row r="58" customFormat="false" ht="15" hidden="false" customHeight="false" outlineLevel="0" collapsed="false">
      <c r="A58" s="4"/>
      <c r="B58" s="4"/>
      <c r="C58" s="18"/>
      <c r="D58" s="4"/>
      <c r="E58" s="16"/>
      <c r="F58" s="17"/>
      <c r="G58" s="17"/>
      <c r="H58" s="20" t="str">
        <f aca="false">IF(OR(E58="",F58=""),"",E58*F58*12)</f>
        <v/>
      </c>
      <c r="I58" s="21" t="str">
        <f aca="false">IF(OR(G58="",H58="",H58=0),"",G58/H58)</f>
        <v/>
      </c>
      <c r="J58" s="20" t="str">
        <f aca="false">IF(OR(G58="",E58="",E58=0),"",G58/E58)</f>
        <v/>
      </c>
      <c r="K58" s="4"/>
    </row>
    <row r="59" customFormat="false" ht="15" hidden="false" customHeight="false" outlineLevel="0" collapsed="false">
      <c r="A59" s="4"/>
      <c r="B59" s="4"/>
      <c r="C59" s="18"/>
      <c r="D59" s="4"/>
      <c r="E59" s="16"/>
      <c r="F59" s="17"/>
      <c r="G59" s="17"/>
      <c r="H59" s="20" t="str">
        <f aca="false">IF(OR(E59="",F59=""),"",E59*F59*12)</f>
        <v/>
      </c>
      <c r="I59" s="21" t="str">
        <f aca="false">IF(OR(G59="",H59="",H59=0),"",G59/H59)</f>
        <v/>
      </c>
      <c r="J59" s="20" t="str">
        <f aca="false">IF(OR(G59="",E59="",E59=0),"",G59/E59)</f>
        <v/>
      </c>
      <c r="K59" s="4"/>
    </row>
    <row r="60" customFormat="false" ht="15" hidden="false" customHeight="false" outlineLevel="0" collapsed="false">
      <c r="A60" s="4"/>
      <c r="B60" s="4"/>
      <c r="C60" s="18"/>
      <c r="D60" s="4"/>
      <c r="E60" s="16"/>
      <c r="F60" s="17"/>
      <c r="G60" s="17"/>
      <c r="H60" s="20" t="str">
        <f aca="false">IF(OR(E60="",F60=""),"",E60*F60*12)</f>
        <v/>
      </c>
      <c r="I60" s="21" t="str">
        <f aca="false">IF(OR(G60="",H60="",H60=0),"",G60/H60)</f>
        <v/>
      </c>
      <c r="J60" s="20" t="str">
        <f aca="false">IF(OR(G60="",E60="",E60=0),"",G60/E60)</f>
        <v/>
      </c>
      <c r="K60" s="4"/>
    </row>
    <row r="61" customFormat="false" ht="15" hidden="false" customHeight="false" outlineLevel="0" collapsed="false">
      <c r="A61" s="4"/>
      <c r="B61" s="4"/>
      <c r="C61" s="18"/>
      <c r="D61" s="4"/>
      <c r="E61" s="16"/>
      <c r="F61" s="17"/>
      <c r="G61" s="17"/>
      <c r="H61" s="20" t="str">
        <f aca="false">IF(OR(E61="",F61=""),"",E61*F61*12)</f>
        <v/>
      </c>
      <c r="I61" s="21" t="str">
        <f aca="false">IF(OR(G61="",H61="",H61=0),"",G61/H61)</f>
        <v/>
      </c>
      <c r="J61" s="20" t="str">
        <f aca="false">IF(OR(G61="",E61="",E61=0),"",G61/E61)</f>
        <v/>
      </c>
      <c r="K61" s="4"/>
    </row>
    <row r="62" customFormat="false" ht="15" hidden="false" customHeight="false" outlineLevel="0" collapsed="false">
      <c r="A62" s="4"/>
      <c r="B62" s="4"/>
      <c r="C62" s="18"/>
      <c r="D62" s="4"/>
      <c r="E62" s="16"/>
      <c r="F62" s="17"/>
      <c r="G62" s="17"/>
      <c r="H62" s="20" t="str">
        <f aca="false">IF(OR(E62="",F62=""),"",E62*F62*12)</f>
        <v/>
      </c>
      <c r="I62" s="21" t="str">
        <f aca="false">IF(OR(G62="",H62="",H62=0),"",G62/H62)</f>
        <v/>
      </c>
      <c r="J62" s="20" t="str">
        <f aca="false">IF(OR(G62="",E62="",E62=0),"",G62/E62)</f>
        <v/>
      </c>
      <c r="K62" s="4"/>
    </row>
    <row r="63" customFormat="false" ht="15" hidden="false" customHeight="false" outlineLevel="0" collapsed="false">
      <c r="A63" s="4"/>
      <c r="B63" s="4"/>
      <c r="C63" s="18"/>
      <c r="D63" s="4"/>
      <c r="E63" s="16"/>
      <c r="F63" s="17"/>
      <c r="G63" s="17"/>
      <c r="H63" s="20" t="str">
        <f aca="false">IF(OR(E63="",F63=""),"",E63*F63*12)</f>
        <v/>
      </c>
      <c r="I63" s="21" t="str">
        <f aca="false">IF(OR(G63="",H63="",H63=0),"",G63/H63)</f>
        <v/>
      </c>
      <c r="J63" s="20" t="str">
        <f aca="false">IF(OR(G63="",E63="",E63=0),"",G63/E63)</f>
        <v/>
      </c>
      <c r="K63" s="4"/>
    </row>
    <row r="64" customFormat="false" ht="15" hidden="false" customHeight="false" outlineLevel="0" collapsed="false">
      <c r="A64" s="4"/>
      <c r="B64" s="4"/>
      <c r="C64" s="18"/>
      <c r="D64" s="4"/>
      <c r="E64" s="16"/>
      <c r="F64" s="17"/>
      <c r="G64" s="17"/>
      <c r="H64" s="20" t="str">
        <f aca="false">IF(OR(E64="",F64=""),"",E64*F64*12)</f>
        <v/>
      </c>
      <c r="I64" s="21" t="str">
        <f aca="false">IF(OR(G64="",H64="",H64=0),"",G64/H64)</f>
        <v/>
      </c>
      <c r="J64" s="20" t="str">
        <f aca="false">IF(OR(G64="",E64="",E64=0),"",G64/E64)</f>
        <v/>
      </c>
      <c r="K64" s="4"/>
    </row>
    <row r="65" customFormat="false" ht="15" hidden="false" customHeight="false" outlineLevel="0" collapsed="false">
      <c r="A65" s="4"/>
      <c r="B65" s="4"/>
      <c r="C65" s="18"/>
      <c r="D65" s="4"/>
      <c r="E65" s="16"/>
      <c r="F65" s="17"/>
      <c r="G65" s="17"/>
      <c r="H65" s="20" t="str">
        <f aca="false">IF(OR(E65="",F65=""),"",E65*F65*12)</f>
        <v/>
      </c>
      <c r="I65" s="21" t="str">
        <f aca="false">IF(OR(G65="",H65="",H65=0),"",G65/H65)</f>
        <v/>
      </c>
      <c r="J65" s="20" t="str">
        <f aca="false">IF(OR(G65="",E65="",E65=0),"",G65/E65)</f>
        <v/>
      </c>
      <c r="K65" s="4"/>
    </row>
    <row r="66" customFormat="false" ht="15" hidden="false" customHeight="false" outlineLevel="0" collapsed="false">
      <c r="A66" s="4"/>
      <c r="B66" s="4"/>
      <c r="C66" s="18"/>
      <c r="D66" s="4"/>
      <c r="E66" s="16"/>
      <c r="F66" s="17"/>
      <c r="G66" s="17"/>
      <c r="H66" s="20" t="str">
        <f aca="false">IF(OR(E66="",F66=""),"",E66*F66*12)</f>
        <v/>
      </c>
      <c r="I66" s="21" t="str">
        <f aca="false">IF(OR(G66="",H66="",H66=0),"",G66/H66)</f>
        <v/>
      </c>
      <c r="J66" s="20" t="str">
        <f aca="false">IF(OR(G66="",E66="",E66=0),"",G66/E66)</f>
        <v/>
      </c>
      <c r="K66" s="4"/>
    </row>
    <row r="67" customFormat="false" ht="15" hidden="false" customHeight="false" outlineLevel="0" collapsed="false">
      <c r="A67" s="4"/>
      <c r="B67" s="4"/>
      <c r="C67" s="18"/>
      <c r="D67" s="4"/>
      <c r="E67" s="16"/>
      <c r="F67" s="17"/>
      <c r="G67" s="17"/>
      <c r="H67" s="20" t="str">
        <f aca="false">IF(OR(E67="",F67=""),"",E67*F67*12)</f>
        <v/>
      </c>
      <c r="I67" s="21" t="str">
        <f aca="false">IF(OR(G67="",H67="",H67=0),"",G67/H67)</f>
        <v/>
      </c>
      <c r="J67" s="20" t="str">
        <f aca="false">IF(OR(G67="",E67="",E67=0),"",G67/E67)</f>
        <v/>
      </c>
      <c r="K67" s="4"/>
    </row>
    <row r="68" customFormat="false" ht="15" hidden="false" customHeight="false" outlineLevel="0" collapsed="false">
      <c r="A68" s="4"/>
      <c r="B68" s="4"/>
      <c r="C68" s="18"/>
      <c r="D68" s="4"/>
      <c r="E68" s="16"/>
      <c r="F68" s="17"/>
      <c r="G68" s="17"/>
      <c r="H68" s="20" t="str">
        <f aca="false">IF(OR(E68="",F68=""),"",E68*F68*12)</f>
        <v/>
      </c>
      <c r="I68" s="21" t="str">
        <f aca="false">IF(OR(G68="",H68="",H68=0),"",G68/H68)</f>
        <v/>
      </c>
      <c r="J68" s="20" t="str">
        <f aca="false">IF(OR(G68="",E68="",E68=0),"",G68/E68)</f>
        <v/>
      </c>
      <c r="K68" s="4"/>
    </row>
    <row r="69" customFormat="false" ht="15" hidden="false" customHeight="false" outlineLevel="0" collapsed="false">
      <c r="A69" s="4"/>
      <c r="B69" s="4"/>
      <c r="C69" s="18"/>
      <c r="D69" s="4"/>
      <c r="E69" s="16"/>
      <c r="F69" s="17"/>
      <c r="G69" s="17"/>
      <c r="H69" s="20" t="str">
        <f aca="false">IF(OR(E69="",F69=""),"",E69*F69*12)</f>
        <v/>
      </c>
      <c r="I69" s="21" t="str">
        <f aca="false">IF(OR(G69="",H69="",H69=0),"",G69/H69)</f>
        <v/>
      </c>
      <c r="J69" s="20" t="str">
        <f aca="false">IF(OR(G69="",E69="",E69=0),"",G69/E69)</f>
        <v/>
      </c>
      <c r="K69" s="4"/>
    </row>
    <row r="70" customFormat="false" ht="15" hidden="false" customHeight="false" outlineLevel="0" collapsed="false">
      <c r="A70" s="4"/>
      <c r="B70" s="4"/>
      <c r="C70" s="18"/>
      <c r="D70" s="4"/>
      <c r="E70" s="16"/>
      <c r="F70" s="17"/>
      <c r="G70" s="17"/>
      <c r="H70" s="20" t="str">
        <f aca="false">IF(OR(E70="",F70=""),"",E70*F70*12)</f>
        <v/>
      </c>
      <c r="I70" s="21" t="str">
        <f aca="false">IF(OR(G70="",H70="",H70=0),"",G70/H70)</f>
        <v/>
      </c>
      <c r="J70" s="20" t="str">
        <f aca="false">IF(OR(G70="",E70="",E70=0),"",G70/E70)</f>
        <v/>
      </c>
      <c r="K70" s="4"/>
    </row>
    <row r="71" customFormat="false" ht="15" hidden="false" customHeight="false" outlineLevel="0" collapsed="false">
      <c r="A71" s="4"/>
      <c r="B71" s="4"/>
      <c r="C71" s="18"/>
      <c r="D71" s="4"/>
      <c r="E71" s="16"/>
      <c r="F71" s="17"/>
      <c r="G71" s="17"/>
      <c r="H71" s="20" t="str">
        <f aca="false">IF(OR(E71="",F71=""),"",E71*F71*12)</f>
        <v/>
      </c>
      <c r="I71" s="21" t="str">
        <f aca="false">IF(OR(G71="",H71="",H71=0),"",G71/H71)</f>
        <v/>
      </c>
      <c r="J71" s="20" t="str">
        <f aca="false">IF(OR(G71="",E71="",E71=0),"",G71/E71)</f>
        <v/>
      </c>
      <c r="K71" s="4"/>
    </row>
    <row r="72" customFormat="false" ht="15" hidden="false" customHeight="false" outlineLevel="0" collapsed="false">
      <c r="A72" s="4"/>
      <c r="B72" s="4"/>
      <c r="C72" s="18"/>
      <c r="D72" s="4"/>
      <c r="E72" s="16"/>
      <c r="F72" s="17"/>
      <c r="G72" s="17"/>
      <c r="H72" s="20" t="str">
        <f aca="false">IF(OR(E72="",F72=""),"",E72*F72*12)</f>
        <v/>
      </c>
      <c r="I72" s="21" t="str">
        <f aca="false">IF(OR(G72="",H72="",H72=0),"",G72/H72)</f>
        <v/>
      </c>
      <c r="J72" s="20" t="str">
        <f aca="false">IF(OR(G72="",E72="",E72=0),"",G72/E72)</f>
        <v/>
      </c>
      <c r="K72" s="4"/>
    </row>
    <row r="73" customFormat="false" ht="15" hidden="false" customHeight="false" outlineLevel="0" collapsed="false">
      <c r="A73" s="4"/>
      <c r="B73" s="4"/>
      <c r="C73" s="18"/>
      <c r="D73" s="4"/>
      <c r="E73" s="16"/>
      <c r="F73" s="17"/>
      <c r="G73" s="17"/>
      <c r="H73" s="20" t="str">
        <f aca="false">IF(OR(E73="",F73=""),"",E73*F73*12)</f>
        <v/>
      </c>
      <c r="I73" s="21" t="str">
        <f aca="false">IF(OR(G73="",H73="",H73=0),"",G73/H73)</f>
        <v/>
      </c>
      <c r="J73" s="20" t="str">
        <f aca="false">IF(OR(G73="",E73="",E73=0),"",G73/E73)</f>
        <v/>
      </c>
      <c r="K73" s="4"/>
    </row>
    <row r="74" customFormat="false" ht="15" hidden="false" customHeight="false" outlineLevel="0" collapsed="false">
      <c r="A74" s="4"/>
      <c r="B74" s="4"/>
      <c r="C74" s="18"/>
      <c r="D74" s="4"/>
      <c r="E74" s="16"/>
      <c r="F74" s="17"/>
      <c r="G74" s="17"/>
      <c r="H74" s="20" t="str">
        <f aca="false">IF(OR(E74="",F74=""),"",E74*F74*12)</f>
        <v/>
      </c>
      <c r="I74" s="21" t="str">
        <f aca="false">IF(OR(G74="",H74="",H74=0),"",G74/H74)</f>
        <v/>
      </c>
      <c r="J74" s="20" t="str">
        <f aca="false">IF(OR(G74="",E74="",E74=0),"",G74/E74)</f>
        <v/>
      </c>
      <c r="K74" s="4"/>
    </row>
    <row r="75" customFormat="false" ht="15" hidden="false" customHeight="false" outlineLevel="0" collapsed="false">
      <c r="A75" s="4"/>
      <c r="B75" s="4"/>
      <c r="C75" s="18"/>
      <c r="D75" s="4"/>
      <c r="E75" s="16"/>
      <c r="F75" s="17"/>
      <c r="G75" s="17"/>
      <c r="H75" s="20" t="str">
        <f aca="false">IF(OR(E75="",F75=""),"",E75*F75*12)</f>
        <v/>
      </c>
      <c r="I75" s="21" t="str">
        <f aca="false">IF(OR(G75="",H75="",H75=0),"",G75/H75)</f>
        <v/>
      </c>
      <c r="J75" s="20" t="str">
        <f aca="false">IF(OR(G75="",E75="",E75=0),"",G75/E75)</f>
        <v/>
      </c>
      <c r="K75" s="4"/>
    </row>
    <row r="76" customFormat="false" ht="15" hidden="false" customHeight="false" outlineLevel="0" collapsed="false">
      <c r="A76" s="4"/>
      <c r="B76" s="4"/>
      <c r="C76" s="18"/>
      <c r="D76" s="4"/>
      <c r="E76" s="16"/>
      <c r="F76" s="17"/>
      <c r="G76" s="17"/>
      <c r="H76" s="20" t="str">
        <f aca="false">IF(OR(E76="",F76=""),"",E76*F76*12)</f>
        <v/>
      </c>
      <c r="I76" s="21" t="str">
        <f aca="false">IF(OR(G76="",H76="",H76=0),"",G76/H76)</f>
        <v/>
      </c>
      <c r="J76" s="20" t="str">
        <f aca="false">IF(OR(G76="",E76="",E76=0),"",G76/E76)</f>
        <v/>
      </c>
      <c r="K76" s="4"/>
    </row>
    <row r="77" customFormat="false" ht="15" hidden="false" customHeight="false" outlineLevel="0" collapsed="false">
      <c r="A77" s="4"/>
      <c r="B77" s="4"/>
      <c r="C77" s="18"/>
      <c r="D77" s="4"/>
      <c r="E77" s="16"/>
      <c r="F77" s="17"/>
      <c r="G77" s="17"/>
      <c r="H77" s="20" t="str">
        <f aca="false">IF(OR(E77="",F77=""),"",E77*F77*12)</f>
        <v/>
      </c>
      <c r="I77" s="21" t="str">
        <f aca="false">IF(OR(G77="",H77="",H77=0),"",G77/H77)</f>
        <v/>
      </c>
      <c r="J77" s="20" t="str">
        <f aca="false">IF(OR(G77="",E77="",E77=0),"",G77/E77)</f>
        <v/>
      </c>
      <c r="K77" s="4"/>
    </row>
    <row r="78" customFormat="false" ht="15" hidden="false" customHeight="false" outlineLevel="0" collapsed="false">
      <c r="A78" s="4"/>
      <c r="B78" s="4"/>
      <c r="C78" s="18"/>
      <c r="D78" s="4"/>
      <c r="E78" s="16"/>
      <c r="F78" s="17"/>
      <c r="G78" s="17"/>
      <c r="H78" s="20" t="str">
        <f aca="false">IF(OR(E78="",F78=""),"",E78*F78*12)</f>
        <v/>
      </c>
      <c r="I78" s="21" t="str">
        <f aca="false">IF(OR(G78="",H78="",H78=0),"",G78/H78)</f>
        <v/>
      </c>
      <c r="J78" s="20" t="str">
        <f aca="false">IF(OR(G78="",E78="",E78=0),"",G78/E78)</f>
        <v/>
      </c>
      <c r="K78" s="4"/>
    </row>
    <row r="79" customFormat="false" ht="15" hidden="false" customHeight="false" outlineLevel="0" collapsed="false">
      <c r="A79" s="4"/>
      <c r="B79" s="4"/>
      <c r="C79" s="18"/>
      <c r="D79" s="4"/>
      <c r="E79" s="16"/>
      <c r="F79" s="17"/>
      <c r="G79" s="17"/>
      <c r="H79" s="20" t="str">
        <f aca="false">IF(OR(E79="",F79=""),"",E79*F79*12)</f>
        <v/>
      </c>
      <c r="I79" s="21" t="str">
        <f aca="false">IF(OR(G79="",H79="",H79=0),"",G79/H79)</f>
        <v/>
      </c>
      <c r="J79" s="20" t="str">
        <f aca="false">IF(OR(G79="",E79="",E79=0),"",G79/E79)</f>
        <v/>
      </c>
      <c r="K79" s="4"/>
    </row>
    <row r="80" customFormat="false" ht="15" hidden="false" customHeight="false" outlineLevel="0" collapsed="false">
      <c r="A80" s="4"/>
      <c r="B80" s="4"/>
      <c r="C80" s="18"/>
      <c r="D80" s="4"/>
      <c r="E80" s="16"/>
      <c r="F80" s="17"/>
      <c r="G80" s="17"/>
      <c r="H80" s="20" t="str">
        <f aca="false">IF(OR(E80="",F80=""),"",E80*F80*12)</f>
        <v/>
      </c>
      <c r="I80" s="21" t="str">
        <f aca="false">IF(OR(G80="",H80="",H80=0),"",G80/H80)</f>
        <v/>
      </c>
      <c r="J80" s="20" t="str">
        <f aca="false">IF(OR(G80="",E80="",E80=0),"",G80/E80)</f>
        <v/>
      </c>
      <c r="K80" s="4"/>
    </row>
    <row r="81" customFormat="false" ht="15" hidden="false" customHeight="false" outlineLevel="0" collapsed="false">
      <c r="A81" s="4"/>
      <c r="B81" s="4"/>
      <c r="C81" s="18"/>
      <c r="D81" s="4"/>
      <c r="E81" s="16"/>
      <c r="F81" s="17"/>
      <c r="G81" s="17"/>
      <c r="H81" s="20" t="str">
        <f aca="false">IF(OR(E81="",F81=""),"",E81*F81*12)</f>
        <v/>
      </c>
      <c r="I81" s="21" t="str">
        <f aca="false">IF(OR(G81="",H81="",H81=0),"",G81/H81)</f>
        <v/>
      </c>
      <c r="J81" s="20" t="str">
        <f aca="false">IF(OR(G81="",E81="",E81=0),"",G81/E81)</f>
        <v/>
      </c>
      <c r="K81" s="4"/>
    </row>
    <row r="82" customFormat="false" ht="15" hidden="false" customHeight="false" outlineLevel="0" collapsed="false">
      <c r="A82" s="4"/>
      <c r="B82" s="4"/>
      <c r="C82" s="18"/>
      <c r="D82" s="4"/>
      <c r="E82" s="16"/>
      <c r="F82" s="17"/>
      <c r="G82" s="17"/>
      <c r="H82" s="20" t="str">
        <f aca="false">IF(OR(E82="",F82=""),"",E82*F82*12)</f>
        <v/>
      </c>
      <c r="I82" s="21" t="str">
        <f aca="false">IF(OR(G82="",H82="",H82=0),"",G82/H82)</f>
        <v/>
      </c>
      <c r="J82" s="20" t="str">
        <f aca="false">IF(OR(G82="",E82="",E82=0),"",G82/E82)</f>
        <v/>
      </c>
      <c r="K82" s="4"/>
    </row>
    <row r="83" customFormat="false" ht="15" hidden="false" customHeight="false" outlineLevel="0" collapsed="false">
      <c r="A83" s="4"/>
      <c r="B83" s="4"/>
      <c r="C83" s="18"/>
      <c r="D83" s="4"/>
      <c r="E83" s="16"/>
      <c r="F83" s="17"/>
      <c r="G83" s="17"/>
      <c r="H83" s="20" t="str">
        <f aca="false">IF(OR(E83="",F83=""),"",E83*F83*12)</f>
        <v/>
      </c>
      <c r="I83" s="21" t="str">
        <f aca="false">IF(OR(G83="",H83="",H83=0),"",G83/H83)</f>
        <v/>
      </c>
      <c r="J83" s="20" t="str">
        <f aca="false">IF(OR(G83="",E83="",E83=0),"",G83/E83)</f>
        <v/>
      </c>
      <c r="K83" s="4"/>
    </row>
    <row r="84" customFormat="false" ht="15" hidden="false" customHeight="false" outlineLevel="0" collapsed="false">
      <c r="A84" s="4"/>
      <c r="B84" s="4"/>
      <c r="C84" s="18"/>
      <c r="D84" s="4"/>
      <c r="E84" s="16"/>
      <c r="F84" s="17"/>
      <c r="G84" s="17"/>
      <c r="H84" s="20" t="str">
        <f aca="false">IF(OR(E84="",F84=""),"",E84*F84*12)</f>
        <v/>
      </c>
      <c r="I84" s="21" t="str">
        <f aca="false">IF(OR(G84="",H84="",H84=0),"",G84/H84)</f>
        <v/>
      </c>
      <c r="J84" s="20" t="str">
        <f aca="false">IF(OR(G84="",E84="",E84=0),"",G84/E84)</f>
        <v/>
      </c>
      <c r="K84" s="4"/>
    </row>
    <row r="85" customFormat="false" ht="15" hidden="false" customHeight="false" outlineLevel="0" collapsed="false">
      <c r="A85" s="4"/>
      <c r="B85" s="4"/>
      <c r="C85" s="18"/>
      <c r="D85" s="4"/>
      <c r="E85" s="16"/>
      <c r="F85" s="17"/>
      <c r="G85" s="17"/>
      <c r="H85" s="20" t="str">
        <f aca="false">IF(OR(E85="",F85=""),"",E85*F85*12)</f>
        <v/>
      </c>
      <c r="I85" s="21" t="str">
        <f aca="false">IF(OR(G85="",H85="",H85=0),"",G85/H85)</f>
        <v/>
      </c>
      <c r="J85" s="20" t="str">
        <f aca="false">IF(OR(G85="",E85="",E85=0),"",G85/E85)</f>
        <v/>
      </c>
      <c r="K85" s="4"/>
    </row>
    <row r="86" customFormat="false" ht="15" hidden="false" customHeight="false" outlineLevel="0" collapsed="false">
      <c r="A86" s="4"/>
      <c r="B86" s="4"/>
      <c r="C86" s="18"/>
      <c r="D86" s="4"/>
      <c r="E86" s="16"/>
      <c r="F86" s="17"/>
      <c r="G86" s="17"/>
      <c r="H86" s="20" t="str">
        <f aca="false">IF(OR(E86="",F86=""),"",E86*F86*12)</f>
        <v/>
      </c>
      <c r="I86" s="21" t="str">
        <f aca="false">IF(OR(G86="",H86="",H86=0),"",G86/H86)</f>
        <v/>
      </c>
      <c r="J86" s="20" t="str">
        <f aca="false">IF(OR(G86="",E86="",E86=0),"",G86/E86)</f>
        <v/>
      </c>
      <c r="K86" s="4"/>
    </row>
    <row r="87" customFormat="false" ht="15" hidden="false" customHeight="false" outlineLevel="0" collapsed="false">
      <c r="A87" s="4"/>
      <c r="B87" s="4"/>
      <c r="C87" s="18"/>
      <c r="D87" s="4"/>
      <c r="E87" s="16"/>
      <c r="F87" s="17"/>
      <c r="G87" s="17"/>
      <c r="H87" s="20" t="str">
        <f aca="false">IF(OR(E87="",F87=""),"",E87*F87*12)</f>
        <v/>
      </c>
      <c r="I87" s="21" t="str">
        <f aca="false">IF(OR(G87="",H87="",H87=0),"",G87/H87)</f>
        <v/>
      </c>
      <c r="J87" s="20" t="str">
        <f aca="false">IF(OR(G87="",E87="",E87=0),"",G87/E87)</f>
        <v/>
      </c>
      <c r="K87" s="4"/>
    </row>
    <row r="88" customFormat="false" ht="15" hidden="false" customHeight="false" outlineLevel="0" collapsed="false">
      <c r="A88" s="4"/>
      <c r="B88" s="4"/>
      <c r="C88" s="18"/>
      <c r="D88" s="4"/>
      <c r="E88" s="16"/>
      <c r="F88" s="17"/>
      <c r="G88" s="17"/>
      <c r="H88" s="20" t="str">
        <f aca="false">IF(OR(E88="",F88=""),"",E88*F88*12)</f>
        <v/>
      </c>
      <c r="I88" s="21" t="str">
        <f aca="false">IF(OR(G88="",H88="",H88=0),"",G88/H88)</f>
        <v/>
      </c>
      <c r="J88" s="20" t="str">
        <f aca="false">IF(OR(G88="",E88="",E88=0),"",G88/E88)</f>
        <v/>
      </c>
      <c r="K88" s="4"/>
    </row>
    <row r="89" customFormat="false" ht="15" hidden="false" customHeight="false" outlineLevel="0" collapsed="false">
      <c r="A89" s="4"/>
      <c r="B89" s="4"/>
      <c r="C89" s="18"/>
      <c r="D89" s="4"/>
      <c r="E89" s="16"/>
      <c r="F89" s="17"/>
      <c r="G89" s="17"/>
      <c r="H89" s="20" t="str">
        <f aca="false">IF(OR(E89="",F89=""),"",E89*F89*12)</f>
        <v/>
      </c>
      <c r="I89" s="21" t="str">
        <f aca="false">IF(OR(G89="",H89="",H89=0),"",G89/H89)</f>
        <v/>
      </c>
      <c r="J89" s="20" t="str">
        <f aca="false">IF(OR(G89="",E89="",E89=0),"",G89/E89)</f>
        <v/>
      </c>
      <c r="K89" s="4"/>
    </row>
    <row r="90" customFormat="false" ht="15" hidden="false" customHeight="false" outlineLevel="0" collapsed="false">
      <c r="A90" s="4"/>
      <c r="B90" s="4"/>
      <c r="C90" s="18"/>
      <c r="D90" s="4"/>
      <c r="E90" s="16"/>
      <c r="F90" s="17"/>
      <c r="G90" s="17"/>
      <c r="H90" s="20" t="str">
        <f aca="false">IF(OR(E90="",F90=""),"",E90*F90*12)</f>
        <v/>
      </c>
      <c r="I90" s="21" t="str">
        <f aca="false">IF(OR(G90="",H90="",H90=0),"",G90/H90)</f>
        <v/>
      </c>
      <c r="J90" s="20" t="str">
        <f aca="false">IF(OR(G90="",E90="",E90=0),"",G90/E90)</f>
        <v/>
      </c>
      <c r="K90" s="4"/>
    </row>
    <row r="91" customFormat="false" ht="15" hidden="false" customHeight="false" outlineLevel="0" collapsed="false">
      <c r="A91" s="4"/>
      <c r="B91" s="4"/>
      <c r="C91" s="18"/>
      <c r="D91" s="4"/>
      <c r="E91" s="16"/>
      <c r="F91" s="17"/>
      <c r="G91" s="17"/>
      <c r="H91" s="20" t="str">
        <f aca="false">IF(OR(E91="",F91=""),"",E91*F91*12)</f>
        <v/>
      </c>
      <c r="I91" s="21" t="str">
        <f aca="false">IF(OR(G91="",H91="",H91=0),"",G91/H91)</f>
        <v/>
      </c>
      <c r="J91" s="20" t="str">
        <f aca="false">IF(OR(G91="",E91="",E91=0),"",G91/E91)</f>
        <v/>
      </c>
      <c r="K91" s="4"/>
    </row>
    <row r="92" customFormat="false" ht="15" hidden="false" customHeight="false" outlineLevel="0" collapsed="false">
      <c r="A92" s="4"/>
      <c r="B92" s="4"/>
      <c r="C92" s="18"/>
      <c r="D92" s="4"/>
      <c r="E92" s="16"/>
      <c r="F92" s="17"/>
      <c r="G92" s="17"/>
      <c r="H92" s="20" t="str">
        <f aca="false">IF(OR(E92="",F92=""),"",E92*F92*12)</f>
        <v/>
      </c>
      <c r="I92" s="21" t="str">
        <f aca="false">IF(OR(G92="",H92="",H92=0),"",G92/H92)</f>
        <v/>
      </c>
      <c r="J92" s="20" t="str">
        <f aca="false">IF(OR(G92="",E92="",E92=0),"",G92/E92)</f>
        <v/>
      </c>
      <c r="K92" s="4"/>
    </row>
    <row r="93" customFormat="false" ht="15" hidden="false" customHeight="false" outlineLevel="0" collapsed="false">
      <c r="A93" s="4"/>
      <c r="B93" s="4"/>
      <c r="C93" s="18"/>
      <c r="D93" s="4"/>
      <c r="E93" s="16"/>
      <c r="F93" s="17"/>
      <c r="G93" s="17"/>
      <c r="H93" s="20" t="str">
        <f aca="false">IF(OR(E93="",F93=""),"",E93*F93*12)</f>
        <v/>
      </c>
      <c r="I93" s="21" t="str">
        <f aca="false">IF(OR(G93="",H93="",H93=0),"",G93/H93)</f>
        <v/>
      </c>
      <c r="J93" s="20" t="str">
        <f aca="false">IF(OR(G93="",E93="",E93=0),"",G93/E93)</f>
        <v/>
      </c>
      <c r="K93" s="4"/>
    </row>
    <row r="94" customFormat="false" ht="15" hidden="false" customHeight="false" outlineLevel="0" collapsed="false">
      <c r="A94" s="4"/>
      <c r="B94" s="4"/>
      <c r="C94" s="18"/>
      <c r="D94" s="4"/>
      <c r="E94" s="16"/>
      <c r="F94" s="17"/>
      <c r="G94" s="17"/>
      <c r="H94" s="20" t="str">
        <f aca="false">IF(OR(E94="",F94=""),"",E94*F94*12)</f>
        <v/>
      </c>
      <c r="I94" s="21" t="str">
        <f aca="false">IF(OR(G94="",H94="",H94=0),"",G94/H94)</f>
        <v/>
      </c>
      <c r="J94" s="20" t="str">
        <f aca="false">IF(OR(G94="",E94="",E94=0),"",G94/E94)</f>
        <v/>
      </c>
      <c r="K94" s="4"/>
    </row>
    <row r="95" customFormat="false" ht="15" hidden="false" customHeight="false" outlineLevel="0" collapsed="false">
      <c r="A95" s="4"/>
      <c r="B95" s="4"/>
      <c r="C95" s="18"/>
      <c r="D95" s="4"/>
      <c r="E95" s="16"/>
      <c r="F95" s="17"/>
      <c r="G95" s="17"/>
      <c r="H95" s="20" t="str">
        <f aca="false">IF(OR(E95="",F95=""),"",E95*F95*12)</f>
        <v/>
      </c>
      <c r="I95" s="21" t="str">
        <f aca="false">IF(OR(G95="",H95="",H95=0),"",G95/H95)</f>
        <v/>
      </c>
      <c r="J95" s="20" t="str">
        <f aca="false">IF(OR(G95="",E95="",E95=0),"",G95/E95)</f>
        <v/>
      </c>
      <c r="K95" s="4"/>
    </row>
    <row r="96" customFormat="false" ht="15" hidden="false" customHeight="false" outlineLevel="0" collapsed="false">
      <c r="A96" s="4"/>
      <c r="B96" s="4"/>
      <c r="C96" s="18"/>
      <c r="D96" s="4"/>
      <c r="E96" s="16"/>
      <c r="F96" s="17"/>
      <c r="G96" s="17"/>
      <c r="H96" s="20" t="str">
        <f aca="false">IF(OR(E96="",F96=""),"",E96*F96*12)</f>
        <v/>
      </c>
      <c r="I96" s="21" t="str">
        <f aca="false">IF(OR(G96="",H96="",H96=0),"",G96/H96)</f>
        <v/>
      </c>
      <c r="J96" s="20" t="str">
        <f aca="false">IF(OR(G96="",E96="",E96=0),"",G96/E96)</f>
        <v/>
      </c>
      <c r="K96" s="4"/>
    </row>
    <row r="97" customFormat="false" ht="15" hidden="false" customHeight="false" outlineLevel="0" collapsed="false">
      <c r="A97" s="4"/>
      <c r="B97" s="4"/>
      <c r="C97" s="18"/>
      <c r="D97" s="4"/>
      <c r="E97" s="16"/>
      <c r="F97" s="17"/>
      <c r="G97" s="17"/>
      <c r="H97" s="20" t="str">
        <f aca="false">IF(OR(E97="",F97=""),"",E97*F97*12)</f>
        <v/>
      </c>
      <c r="I97" s="21" t="str">
        <f aca="false">IF(OR(G97="",H97="",H97=0),"",G97/H97)</f>
        <v/>
      </c>
      <c r="J97" s="20" t="str">
        <f aca="false">IF(OR(G97="",E97="",E97=0),"",G97/E97)</f>
        <v/>
      </c>
      <c r="K97" s="4"/>
    </row>
    <row r="98" customFormat="false" ht="15" hidden="false" customHeight="false" outlineLevel="0" collapsed="false">
      <c r="A98" s="4"/>
      <c r="B98" s="4"/>
      <c r="C98" s="18"/>
      <c r="D98" s="4"/>
      <c r="E98" s="16"/>
      <c r="F98" s="17"/>
      <c r="G98" s="17"/>
      <c r="H98" s="20" t="str">
        <f aca="false">IF(OR(E98="",F98=""),"",E98*F98*12)</f>
        <v/>
      </c>
      <c r="I98" s="21" t="str">
        <f aca="false">IF(OR(G98="",H98="",H98=0),"",G98/H98)</f>
        <v/>
      </c>
      <c r="J98" s="20" t="str">
        <f aca="false">IF(OR(G98="",E98="",E98=0),"",G98/E98)</f>
        <v/>
      </c>
      <c r="K98" s="4"/>
    </row>
    <row r="99" customFormat="false" ht="15" hidden="false" customHeight="false" outlineLevel="0" collapsed="false">
      <c r="A99" s="4"/>
      <c r="B99" s="4"/>
      <c r="C99" s="18"/>
      <c r="D99" s="4"/>
      <c r="E99" s="16"/>
      <c r="F99" s="17"/>
      <c r="G99" s="17"/>
      <c r="H99" s="20" t="str">
        <f aca="false">IF(OR(E99="",F99=""),"",E99*F99*12)</f>
        <v/>
      </c>
      <c r="I99" s="21" t="str">
        <f aca="false">IF(OR(G99="",H99="",H99=0),"",G99/H99)</f>
        <v/>
      </c>
      <c r="J99" s="20" t="str">
        <f aca="false">IF(OR(G99="",E99="",E99=0),"",G99/E99)</f>
        <v/>
      </c>
      <c r="K99" s="4"/>
    </row>
    <row r="100" customFormat="false" ht="15" hidden="false" customHeight="false" outlineLevel="0" collapsed="false">
      <c r="A100" s="4"/>
      <c r="B100" s="4"/>
      <c r="C100" s="18"/>
      <c r="D100" s="4"/>
      <c r="E100" s="16"/>
      <c r="F100" s="17"/>
      <c r="G100" s="17"/>
      <c r="H100" s="20" t="str">
        <f aca="false">IF(OR(E100="",F100=""),"",E100*F100*12)</f>
        <v/>
      </c>
      <c r="I100" s="21" t="str">
        <f aca="false">IF(OR(G100="",H100="",H100=0),"",G100/H100)</f>
        <v/>
      </c>
      <c r="J100" s="20" t="str">
        <f aca="false">IF(OR(G100="",E100="",E100=0),"",G100/E100)</f>
        <v/>
      </c>
      <c r="K100" s="4"/>
    </row>
    <row r="101" customFormat="false" ht="15" hidden="false" customHeight="false" outlineLevel="0" collapsed="false">
      <c r="A101" s="4"/>
      <c r="B101" s="4"/>
      <c r="C101" s="18"/>
      <c r="D101" s="4"/>
      <c r="E101" s="16"/>
      <c r="F101" s="17"/>
      <c r="G101" s="17"/>
      <c r="H101" s="20" t="str">
        <f aca="false">IF(OR(E101="",F101=""),"",E101*F101*12)</f>
        <v/>
      </c>
      <c r="I101" s="21" t="str">
        <f aca="false">IF(OR(G101="",H101="",H101=0),"",G101/H101)</f>
        <v/>
      </c>
      <c r="J101" s="20" t="str">
        <f aca="false">IF(OR(G101="",E101="",E101=0),"",G101/E101)</f>
        <v/>
      </c>
      <c r="K101" s="4"/>
    </row>
    <row r="102" customFormat="false" ht="15" hidden="false" customHeight="false" outlineLevel="0" collapsed="false">
      <c r="A102" s="4"/>
      <c r="B102" s="4"/>
      <c r="C102" s="18"/>
      <c r="D102" s="4"/>
      <c r="E102" s="16"/>
      <c r="F102" s="17"/>
      <c r="G102" s="17"/>
      <c r="H102" s="20" t="str">
        <f aca="false">IF(OR(E102="",F102=""),"",E102*F102*12)</f>
        <v/>
      </c>
      <c r="I102" s="21" t="str">
        <f aca="false">IF(OR(G102="",H102="",H102=0),"",G102/H102)</f>
        <v/>
      </c>
      <c r="J102" s="20" t="str">
        <f aca="false">IF(OR(G102="",E102="",E102=0),"",G102/E102)</f>
        <v/>
      </c>
      <c r="K102" s="4"/>
    </row>
    <row r="103" customFormat="false" ht="15" hidden="false" customHeight="false" outlineLevel="0" collapsed="false">
      <c r="A103" s="4"/>
      <c r="B103" s="4"/>
      <c r="C103" s="18"/>
      <c r="D103" s="4"/>
      <c r="E103" s="16"/>
      <c r="F103" s="17"/>
      <c r="G103" s="17"/>
      <c r="H103" s="20" t="str">
        <f aca="false">IF(OR(E103="",F103=""),"",E103*F103*12)</f>
        <v/>
      </c>
      <c r="I103" s="21" t="str">
        <f aca="false">IF(OR(G103="",H103="",H103=0),"",G103/H103)</f>
        <v/>
      </c>
      <c r="J103" s="20" t="str">
        <f aca="false">IF(OR(G103="",E103="",E103=0),"",G103/E103)</f>
        <v/>
      </c>
      <c r="K103" s="4"/>
    </row>
    <row r="104" customFormat="false" ht="15" hidden="false" customHeight="false" outlineLevel="0" collapsed="false">
      <c r="A104" s="4"/>
      <c r="B104" s="4"/>
      <c r="C104" s="18"/>
      <c r="D104" s="4"/>
      <c r="E104" s="16"/>
      <c r="F104" s="17"/>
      <c r="G104" s="17"/>
      <c r="H104" s="20" t="str">
        <f aca="false">IF(OR(E104="",F104=""),"",E104*F104*12)</f>
        <v/>
      </c>
      <c r="I104" s="21" t="str">
        <f aca="false">IF(OR(G104="",H104="",H104=0),"",G104/H104)</f>
        <v/>
      </c>
      <c r="J104" s="20" t="str">
        <f aca="false">IF(OR(G104="",E104="",E104=0),"",G104/E104)</f>
        <v/>
      </c>
      <c r="K104" s="4"/>
    </row>
  </sheetData>
  <mergeCells count="1">
    <mergeCell ref="A2:K2"/>
  </mergeCells>
  <dataValidations count="2">
    <dataValidation allowBlank="false" error="Pilih dari daftar." errorStyle="stop" errorTitle="Pilihan tidak valid" operator="between" prompt="Pilih kategori usaha" promptTitle="Pilih" showDropDown="false" showErrorMessage="true" showInputMessage="true" sqref="B5:B104" type="list">
      <formula1>Parameter!$A$6:$A$14</formula1>
      <formula2>0</formula2>
    </dataValidation>
    <dataValidation allowBlank="false" error="Pilih dari daftar." errorStyle="stop" errorTitle="Pilihan tidak valid" operator="between" prompt="Pilih lokasi" promptTitle="Pilih" showDropDown="false" showErrorMessage="true" showInputMessage="true" sqref="D5:D104" type="list">
      <formula1>Parameter!$A$45:$A$47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2026-10-12T07:57:42Z</dcterms:created>
  <dc:creator>openpyxl</dc:creator>
  <dc:description/>
  <dc:language>en-US</dc:language>
  <cp:lastModifiedBy/>
  <dcterms:modified xsi:type="dcterms:W3CDTF">2026-10-12T07:57:42Z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