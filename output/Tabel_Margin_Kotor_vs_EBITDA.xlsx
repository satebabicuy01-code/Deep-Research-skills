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 Margin" sheetId="1" state="visible" r:id="rId3"/>
    <sheet name="Kombinasi" sheetId="2" state="visible" r:id="rId4"/>
    <sheet name="Penjel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<sst xmlns="http://schemas.openxmlformats.org/spreadsheetml/2006/main" count="82" uniqueCount="78">
  <si>
    <t xml:space="preserve">MARGIN KOTOR TIDAK SAMA DENGAN EBITDA</t>
  </si>
  <si>
    <t xml:space="preserve">Margin kotor = penjualan − harga modal barang (COGS). EBITDA setelah sewa = margin kotor − sewa − gaji − utilitas − biaya lain. Selisih keduanya adalah biaya operasional toko.</t>
  </si>
  <si>
    <t xml:space="preserve">Legenda:</t>
  </si>
  <si>
    <t xml:space="preserve">Boleh diubah</t>
  </si>
  <si>
    <t xml:space="preserve">Rumus</t>
  </si>
  <si>
    <t xml:space="preserve">Baru diisi</t>
  </si>
  <si>
    <t xml:space="preserve">Jenis usaha</t>
  </si>
  <si>
    <t xml:space="preserve">Margin kotor min</t>
  </si>
  <si>
    <t xml:space="preserve">Margin kotor maks</t>
  </si>
  <si>
    <t xml:space="preserve">COGS min</t>
  </si>
  <si>
    <t xml:space="preserve">COGS maks</t>
  </si>
  <si>
    <t xml:space="preserve">EBITDA setelah sewa min</t>
  </si>
  <si>
    <t xml:space="preserve">EBITDA setelah sewa maks</t>
  </si>
  <si>
    <t xml:space="preserve">Biaya operasional min</t>
  </si>
  <si>
    <t xml:space="preserve">Biaya operasional maks</t>
  </si>
  <si>
    <t xml:space="preserve">Catatan</t>
  </si>
  <si>
    <t xml:space="preserve">Sumber / dasar angka</t>
  </si>
  <si>
    <t xml:space="preserve">F&amp;B (kafe, resto)</t>
  </si>
  <si>
    <t xml:space="preserve">Gaji &amp; utilitas besar</t>
  </si>
  <si>
    <t xml:space="preserve">Estimasi umum; jaringan kopi 2025 EBITDA ~20%</t>
  </si>
  <si>
    <t xml:space="preserve">Fashion / aksesoris</t>
  </si>
  <si>
    <t xml:space="preserve">Diskon musiman</t>
  </si>
  <si>
    <t xml:space="preserve">Estimasi; peritel fashion mall 2025 margin kotor ~42%</t>
  </si>
  <si>
    <t xml:space="preserve">Salon, klinik, jasa</t>
  </si>
  <si>
    <t xml:space="preserve">Biaya utama SDM</t>
  </si>
  <si>
    <t xml:space="preserve">Estimasi (tidak ada emiten murni)</t>
  </si>
  <si>
    <t xml:space="preserve">Furnitur &amp; dekorasi rumah</t>
  </si>
  <si>
    <t xml:space="preserve">Display &amp; stok besar</t>
  </si>
  <si>
    <t xml:space="preserve">Estimasi; emiten home furnishing margin kotor ~45%</t>
  </si>
  <si>
    <t xml:space="preserve">Perlengkapan rumah</t>
  </si>
  <si>
    <t xml:space="preserve">Dikalibrasi data emiten</t>
  </si>
  <si>
    <t xml:space="preserve">COGS dihitung dari margin kotor; EBITDA emiten 16,8–19,8% − sewa ±5%</t>
  </si>
  <si>
    <t xml:space="preserve">Kombinasi komoditi + lifestyle</t>
  </si>
  <si>
    <t xml:space="preserve">Margin campuran: komoditi tipis + lifestyle tinggi</t>
  </si>
  <si>
    <t xml:space="preserve">Margin dari sheet Kombinasi (contoh 60/40); EBITDA estimasi</t>
  </si>
  <si>
    <t xml:space="preserve">Apotek, toko kesehatan</t>
  </si>
  <si>
    <t xml:space="preserve">Stabil, margin tipis</t>
  </si>
  <si>
    <t xml:space="preserve">Estimasi</t>
  </si>
  <si>
    <t xml:space="preserve">Minimarket, grocery</t>
  </si>
  <si>
    <t xml:space="preserve">Harus sangat hemat</t>
  </si>
  <si>
    <t xml:space="preserve">Jaringan minimarket 2025 margin kotor 21,9–26,1%</t>
  </si>
  <si>
    <t xml:space="preserve">Elektronik, gadget</t>
  </si>
  <si>
    <t xml:space="preserve">Modal di stok</t>
  </si>
  <si>
    <t xml:space="preserve">Jaringan ritel ponsel 2025 margin kotor ~10,8%</t>
  </si>
  <si>
    <t xml:space="preserve">Cara baca: COGS = 100% − margin kotor. Biaya operasional = margin kotor − EBITDA setelah sewa (sewa, gaji, listrik, marketing, dll.). Semua angka adalah kisaran indikatif; sel jingga adalah bagian yang sebelumnya kosong dan baru dilengkapi.</t>
  </si>
  <si>
    <t xml:space="preserve">KALKULATOR MARGIN CAMPURAN: KOMODITI + LIFESTYLE</t>
  </si>
  <si>
    <t xml:space="preserve">Untuk toko yang menjual barang komoditi (margin tipis, perputaran cepat) bersama barang lifestyle (margin tinggi). Margin toko = rata-rata tertimbang sesuai porsi penjualan.</t>
  </si>
  <si>
    <t xml:space="preserve">Kelompok barang</t>
  </si>
  <si>
    <t xml:space="preserve">Porsi penjualan</t>
  </si>
  <si>
    <t xml:space="preserve">Contoh barang</t>
  </si>
  <si>
    <t xml:space="preserve">Komoditi</t>
  </si>
  <si>
    <t xml:space="preserve">Bahan bangunan, cat, semen, perkakas dasar, kebutuhan harian</t>
  </si>
  <si>
    <t xml:space="preserve">Lifestyle</t>
  </si>
  <si>
    <t xml:space="preserve">Dekorasi, peralatan dapur desain, organizer, produk merek sendiri</t>
  </si>
  <si>
    <t xml:space="preserve">HASIL</t>
  </si>
  <si>
    <t xml:space="preserve">Margin kotor campuran (min)</t>
  </si>
  <si>
    <t xml:space="preserve">Margin kotor campuran (maks)</t>
  </si>
  <si>
    <t xml:space="preserve">Estimasi COGS (min)</t>
  </si>
  <si>
    <t xml:space="preserve">Estimasi COGS (maks)</t>
  </si>
  <si>
    <t xml:space="preserve">Isian awal (60% komoditi, 40% lifestyle) adalah CONTOH. Ubah sel kuning sesuai bauran klien. Porsi lifestyle dihitung otomatis (100% − porsi komoditi).</t>
  </si>
  <si>
    <t xml:space="preserve">Semakin besar porsi lifestyle, semakin tinggi margin campuran, sehingga ruang capex juga lebih besar.</t>
  </si>
  <si>
    <t xml:space="preserve">PENJELASAN</t>
  </si>
  <si>
    <t xml:space="preserve">Margin kotor</t>
  </si>
  <si>
    <t xml:space="preserve">Selisih harga jual dan harga modal barang (COGS), dalam % penjualan. Belum dikurangi sewa, gaji, dan biaya toko lainnya.</t>
  </si>
  <si>
    <t xml:space="preserve">COGS</t>
  </si>
  <si>
    <t xml:space="preserve">Cost of Goods Sold, harga modal barang yang terjual. COGS = 100% − margin kotor. Contoh: margin kotor 30–40% berarti COGS 60–70%.</t>
  </si>
  <si>
    <t xml:space="preserve">EBITDA setelah sewa</t>
  </si>
  <si>
    <t xml:space="preserve">Laba operasional toko setelah semua biaya operasional termasuk sewa, sebelum penyusutan, bunga, dan pajak. Inilah angka yang dipakai di rumus capex maks = EBITDA × payback.</t>
  </si>
  <si>
    <t xml:space="preserve">Biaya operasional</t>
  </si>
  <si>
    <t xml:space="preserve">Margin kotor − EBITDA setelah sewa. Menunjukkan berapa poin margin yang habis untuk sewa, gaji, listrik, marketing, dan lain-lain. Contoh F&amp;B: margin kotor 60–70% tapi EBITDA hanya 15–20%, jadi ±45–50 poin habis untuk biaya operasional.</t>
  </si>
  <si>
    <t xml:space="preserve">COGS 60–70% dihitung dari margin kotor 30–40%. Catatan: emiten home improvement di BEI melaporkan margin kotor ±47–49%, lebih tinggi dari kisaran tabel, karena porsi produk merek sendiri dan lifestyle-nya besar.</t>
  </si>
  <si>
    <t xml:space="preserve">Toko yang menggabungkan barang komoditi (margin tipis ±15–20%, laku cepat) dengan barang lifestyle (margin ±40–50%). Margin toko adalah rata-rata tertimbang sesuai porsi penjualan; hitung di sheet Kombinasi. Contoh 60% komoditi + 40% lifestyle menghasilkan margin kotor ±25–32% dan COGS ±68–75%. EBITDA setelah sewa diestimasi 7–10%.</t>
  </si>
  <si>
    <t xml:space="preserve">Apotek, minimarket, elektronik</t>
  </si>
  <si>
    <t xml:space="preserve">COGS dihitung otomatis dari margin kotor: apotek 70–80%, minimarket 75–85%, elektronik 85–92%. Semakin tinggi COGS, semakin kecil ruang untuk sewa, gaji, dan capex.</t>
  </si>
  <si>
    <t xml:space="preserve">Kenapa penting untuk desain</t>
  </si>
  <si>
    <t xml:space="preserve">Kemampuan toko menanggung capex ditentukan EBITDA, bukan margin kotor. Usaha bermargin kotor tinggi belum tentu sanggup capex besar bila biaya operasionalnya juga besar (contoh: F&amp;B dan salon).</t>
  </si>
  <si>
    <t xml:space="preserve">Keterbatasan</t>
  </si>
  <si>
    <t xml:space="preserve">Angka bersifat indikatif. Data emiten adalah angka tingkat perusahaan, bukan per toko. Kalibrasi dengan data proyek sendiri bila tersedia.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</si>
</sst>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;\-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1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30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4</v>
      </c>
      <c r="D3" s="6" t="s">
        <v>5</v>
      </c>
      <c r="E3" s="6"/>
    </row>
    <row r="5" customFormat="false" ht="45" hidden="false" customHeight="true" outlineLevel="0" collapsed="false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</row>
    <row r="6" customFormat="false" ht="30" hidden="false" customHeight="true" outlineLevel="0" collapsed="false">
      <c r="A6" s="8" t="s">
        <v>17</v>
      </c>
      <c r="B6" s="9" t="n">
        <v>0.6</v>
      </c>
      <c r="C6" s="9" t="n">
        <v>0.7</v>
      </c>
      <c r="D6" s="10" t="n">
        <f aca="false">1-C6</f>
        <v>0.3</v>
      </c>
      <c r="E6" s="10" t="n">
        <f aca="false">1-B6</f>
        <v>0.4</v>
      </c>
      <c r="F6" s="9" t="n">
        <v>0.15</v>
      </c>
      <c r="G6" s="9" t="n">
        <v>0.2</v>
      </c>
      <c r="H6" s="10" t="n">
        <f aca="false">B6-F6</f>
        <v>0.45</v>
      </c>
      <c r="I6" s="10" t="n">
        <f aca="false">C6-G6</f>
        <v>0.5</v>
      </c>
      <c r="J6" s="11" t="s">
        <v>18</v>
      </c>
      <c r="K6" s="12" t="s">
        <v>19</v>
      </c>
    </row>
    <row r="7" customFormat="false" ht="30" hidden="false" customHeight="true" outlineLevel="0" collapsed="false">
      <c r="A7" s="8" t="s">
        <v>20</v>
      </c>
      <c r="B7" s="9" t="n">
        <v>0.45</v>
      </c>
      <c r="C7" s="9" t="n">
        <v>0.6</v>
      </c>
      <c r="D7" s="10" t="n">
        <f aca="false">1-C7</f>
        <v>0.4</v>
      </c>
      <c r="E7" s="10" t="n">
        <f aca="false">1-B7</f>
        <v>0.55</v>
      </c>
      <c r="F7" s="9" t="n">
        <v>0.12</v>
      </c>
      <c r="G7" s="9" t="n">
        <v>0.18</v>
      </c>
      <c r="H7" s="10" t="n">
        <f aca="false">B7-F7</f>
        <v>0.33</v>
      </c>
      <c r="I7" s="10" t="n">
        <f aca="false">C7-G7</f>
        <v>0.42</v>
      </c>
      <c r="J7" s="11" t="s">
        <v>21</v>
      </c>
      <c r="K7" s="12" t="s">
        <v>22</v>
      </c>
    </row>
    <row r="8" customFormat="false" ht="30" hidden="false" customHeight="true" outlineLevel="0" collapsed="false">
      <c r="A8" s="8" t="s">
        <v>23</v>
      </c>
      <c r="B8" s="9" t="n">
        <v>0.6</v>
      </c>
      <c r="C8" s="9" t="n">
        <v>0.8</v>
      </c>
      <c r="D8" s="10" t="n">
        <f aca="false">1-C8</f>
        <v>0.2</v>
      </c>
      <c r="E8" s="10" t="n">
        <f aca="false">1-B8</f>
        <v>0.4</v>
      </c>
      <c r="F8" s="9" t="n">
        <v>0.15</v>
      </c>
      <c r="G8" s="9" t="n">
        <v>0.25</v>
      </c>
      <c r="H8" s="10" t="n">
        <f aca="false">B8-F8</f>
        <v>0.45</v>
      </c>
      <c r="I8" s="10" t="n">
        <f aca="false">C8-G8</f>
        <v>0.55</v>
      </c>
      <c r="J8" s="11" t="s">
        <v>24</v>
      </c>
      <c r="K8" s="12" t="s">
        <v>25</v>
      </c>
    </row>
    <row r="9" customFormat="false" ht="30" hidden="false" customHeight="true" outlineLevel="0" collapsed="false">
      <c r="A9" s="8" t="s">
        <v>26</v>
      </c>
      <c r="B9" s="9" t="n">
        <v>0.35</v>
      </c>
      <c r="C9" s="9" t="n">
        <v>0.5</v>
      </c>
      <c r="D9" s="10" t="n">
        <f aca="false">1-C9</f>
        <v>0.5</v>
      </c>
      <c r="E9" s="10" t="n">
        <f aca="false">1-B9</f>
        <v>0.65</v>
      </c>
      <c r="F9" s="9" t="n">
        <v>0.08</v>
      </c>
      <c r="G9" s="9" t="n">
        <v>0.12</v>
      </c>
      <c r="H9" s="10" t="n">
        <f aca="false">B9-F9</f>
        <v>0.27</v>
      </c>
      <c r="I9" s="10" t="n">
        <f aca="false">C9-G9</f>
        <v>0.38</v>
      </c>
      <c r="J9" s="11" t="s">
        <v>27</v>
      </c>
      <c r="K9" s="12" t="s">
        <v>28</v>
      </c>
    </row>
    <row r="10" customFormat="false" ht="30" hidden="false" customHeight="true" outlineLevel="0" collapsed="false">
      <c r="A10" s="8" t="s">
        <v>29</v>
      </c>
      <c r="B10" s="9" t="n">
        <v>0.3</v>
      </c>
      <c r="C10" s="9" t="n">
        <v>0.4</v>
      </c>
      <c r="D10" s="13" t="n">
        <f aca="false">1-C10</f>
        <v>0.6</v>
      </c>
      <c r="E10" s="13" t="n">
        <f aca="false">1-B10</f>
        <v>0.7</v>
      </c>
      <c r="F10" s="9" t="n">
        <v>0.12</v>
      </c>
      <c r="G10" s="9" t="n">
        <v>0.15</v>
      </c>
      <c r="H10" s="10" t="n">
        <f aca="false">B10-F10</f>
        <v>0.18</v>
      </c>
      <c r="I10" s="10" t="n">
        <f aca="false">C10-G10</f>
        <v>0.25</v>
      </c>
      <c r="J10" s="11" t="s">
        <v>30</v>
      </c>
      <c r="K10" s="12" t="s">
        <v>31</v>
      </c>
    </row>
    <row r="11" customFormat="false" ht="30" hidden="false" customHeight="true" outlineLevel="0" collapsed="false">
      <c r="A11" s="14" t="s">
        <v>32</v>
      </c>
      <c r="B11" s="13" t="n">
        <f aca="false">Kombinasi!B9</f>
        <v>0.25</v>
      </c>
      <c r="C11" s="13" t="n">
        <f aca="false">Kombinasi!B10</f>
        <v>0.32</v>
      </c>
      <c r="D11" s="13" t="n">
        <f aca="false">1-C11</f>
        <v>0.68</v>
      </c>
      <c r="E11" s="13" t="n">
        <f aca="false">1-B11</f>
        <v>0.75</v>
      </c>
      <c r="F11" s="15" t="n">
        <v>0.07</v>
      </c>
      <c r="G11" s="15" t="n">
        <v>0.1</v>
      </c>
      <c r="H11" s="10" t="n">
        <f aca="false">B11-F11</f>
        <v>0.18</v>
      </c>
      <c r="I11" s="10" t="n">
        <f aca="false">C11-G11</f>
        <v>0.22</v>
      </c>
      <c r="J11" s="16" t="s">
        <v>33</v>
      </c>
      <c r="K11" s="12" t="s">
        <v>34</v>
      </c>
    </row>
    <row r="12" customFormat="false" ht="30" hidden="false" customHeight="true" outlineLevel="0" collapsed="false">
      <c r="A12" s="8" t="s">
        <v>35</v>
      </c>
      <c r="B12" s="9" t="n">
        <v>0.2</v>
      </c>
      <c r="C12" s="9" t="n">
        <v>0.3</v>
      </c>
      <c r="D12" s="13" t="n">
        <f aca="false">1-C12</f>
        <v>0.7</v>
      </c>
      <c r="E12" s="13" t="n">
        <f aca="false">1-B12</f>
        <v>0.8</v>
      </c>
      <c r="F12" s="9" t="n">
        <v>0.05</v>
      </c>
      <c r="G12" s="9" t="n">
        <v>0.08</v>
      </c>
      <c r="H12" s="10" t="n">
        <f aca="false">B12-F12</f>
        <v>0.15</v>
      </c>
      <c r="I12" s="10" t="n">
        <f aca="false">C12-G12</f>
        <v>0.22</v>
      </c>
      <c r="J12" s="11" t="s">
        <v>36</v>
      </c>
      <c r="K12" s="12" t="s">
        <v>37</v>
      </c>
    </row>
    <row r="13" customFormat="false" ht="30" hidden="false" customHeight="true" outlineLevel="0" collapsed="false">
      <c r="A13" s="8" t="s">
        <v>38</v>
      </c>
      <c r="B13" s="9" t="n">
        <v>0.15</v>
      </c>
      <c r="C13" s="9" t="n">
        <v>0.25</v>
      </c>
      <c r="D13" s="13" t="n">
        <f aca="false">1-C13</f>
        <v>0.75</v>
      </c>
      <c r="E13" s="13" t="n">
        <f aca="false">1-B13</f>
        <v>0.85</v>
      </c>
      <c r="F13" s="9" t="n">
        <v>0.04</v>
      </c>
      <c r="G13" s="9" t="n">
        <v>0.06</v>
      </c>
      <c r="H13" s="10" t="n">
        <f aca="false">B13-F13</f>
        <v>0.11</v>
      </c>
      <c r="I13" s="10" t="n">
        <f aca="false">C13-G13</f>
        <v>0.19</v>
      </c>
      <c r="J13" s="11" t="s">
        <v>39</v>
      </c>
      <c r="K13" s="12" t="s">
        <v>40</v>
      </c>
    </row>
    <row r="14" customFormat="false" ht="30" hidden="false" customHeight="true" outlineLevel="0" collapsed="false">
      <c r="A14" s="8" t="s">
        <v>41</v>
      </c>
      <c r="B14" s="9" t="n">
        <v>0.08</v>
      </c>
      <c r="C14" s="9" t="n">
        <v>0.15</v>
      </c>
      <c r="D14" s="13" t="n">
        <f aca="false">1-C14</f>
        <v>0.85</v>
      </c>
      <c r="E14" s="13" t="n">
        <f aca="false">1-B14</f>
        <v>0.92</v>
      </c>
      <c r="F14" s="9" t="n">
        <v>0.04</v>
      </c>
      <c r="G14" s="9" t="n">
        <v>0.06</v>
      </c>
      <c r="H14" s="10" t="n">
        <f aca="false">B14-F14</f>
        <v>0.04</v>
      </c>
      <c r="I14" s="10" t="n">
        <f aca="false">C14-G14</f>
        <v>0.09</v>
      </c>
      <c r="J14" s="11" t="s">
        <v>42</v>
      </c>
      <c r="K14" s="12" t="s">
        <v>43</v>
      </c>
    </row>
    <row r="16" customFormat="false" ht="42" hidden="false" customHeight="true" outlineLevel="0" collapsed="false">
      <c r="A16" s="2" t="s">
        <v>44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mergeCells count="3">
    <mergeCell ref="A2:K2"/>
    <mergeCell ref="D3:E3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45</v>
      </c>
    </row>
    <row r="2" customFormat="false" ht="30" hidden="false" customHeight="true" outlineLevel="0" collapsed="false">
      <c r="A2" s="2" t="s">
        <v>46</v>
      </c>
      <c r="B2" s="2"/>
      <c r="C2" s="2"/>
      <c r="D2" s="2"/>
      <c r="E2" s="2"/>
    </row>
    <row r="4" customFormat="false" ht="23.85" hidden="false" customHeight="false" outlineLevel="0" collapsed="false">
      <c r="A4" s="17" t="s">
        <v>47</v>
      </c>
      <c r="B4" s="17" t="s">
        <v>48</v>
      </c>
      <c r="C4" s="17" t="s">
        <v>7</v>
      </c>
      <c r="D4" s="17" t="s">
        <v>8</v>
      </c>
      <c r="E4" s="17" t="s">
        <v>49</v>
      </c>
    </row>
    <row r="5" customFormat="false" ht="15" hidden="false" customHeight="false" outlineLevel="0" collapsed="false">
      <c r="A5" s="8" t="s">
        <v>50</v>
      </c>
      <c r="B5" s="9" t="n">
        <v>0.6</v>
      </c>
      <c r="C5" s="9" t="n">
        <v>0.15</v>
      </c>
      <c r="D5" s="9" t="n">
        <v>0.2</v>
      </c>
      <c r="E5" s="11" t="s">
        <v>51</v>
      </c>
    </row>
    <row r="6" customFormat="false" ht="15" hidden="false" customHeight="false" outlineLevel="0" collapsed="false">
      <c r="A6" s="8" t="s">
        <v>52</v>
      </c>
      <c r="B6" s="10" t="n">
        <f aca="false">1-B5</f>
        <v>0.4</v>
      </c>
      <c r="C6" s="9" t="n">
        <v>0.4</v>
      </c>
      <c r="D6" s="9" t="n">
        <v>0.5</v>
      </c>
      <c r="E6" s="11" t="s">
        <v>53</v>
      </c>
    </row>
    <row r="8" customFormat="false" ht="15" hidden="false" customHeight="false" outlineLevel="0" collapsed="false">
      <c r="A8" s="18" t="s">
        <v>54</v>
      </c>
    </row>
    <row r="9" customFormat="false" ht="15" hidden="false" customHeight="false" outlineLevel="0" collapsed="false">
      <c r="A9" s="19" t="s">
        <v>55</v>
      </c>
      <c r="B9" s="20" t="n">
        <f aca="false">B5*C5+B6*C6</f>
        <v>0.25</v>
      </c>
    </row>
    <row r="10" customFormat="false" ht="15" hidden="false" customHeight="false" outlineLevel="0" collapsed="false">
      <c r="A10" s="19" t="s">
        <v>56</v>
      </c>
      <c r="B10" s="20" t="n">
        <f aca="false">B5*D5+B6*D6</f>
        <v>0.32</v>
      </c>
    </row>
    <row r="11" customFormat="false" ht="15" hidden="false" customHeight="false" outlineLevel="0" collapsed="false">
      <c r="A11" s="8" t="s">
        <v>57</v>
      </c>
      <c r="B11" s="20" t="n">
        <f aca="false">1-B10</f>
        <v>0.68</v>
      </c>
    </row>
    <row r="12" customFormat="false" ht="15" hidden="false" customHeight="false" outlineLevel="0" collapsed="false">
      <c r="A12" s="8" t="s">
        <v>58</v>
      </c>
      <c r="B12" s="20" t="n">
        <f aca="false">1-B9</f>
        <v>0.75</v>
      </c>
    </row>
    <row r="14" customFormat="false" ht="30" hidden="false" customHeight="true" outlineLevel="0" collapsed="false">
      <c r="A14" s="2" t="s">
        <v>59</v>
      </c>
      <c r="B14" s="2"/>
      <c r="C14" s="2"/>
      <c r="D14" s="2"/>
      <c r="E14" s="2"/>
    </row>
    <row r="15" customFormat="false" ht="15" hidden="false" customHeight="true" outlineLevel="0" collapsed="false">
      <c r="A15" s="2" t="s">
        <v>60</v>
      </c>
      <c r="B15" s="2"/>
      <c r="C15" s="2"/>
      <c r="D15" s="2"/>
      <c r="E15" s="2"/>
    </row>
  </sheetData>
  <mergeCells count="3">
    <mergeCell ref="A2:E2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61</v>
      </c>
    </row>
    <row r="3" customFormat="false" ht="48" hidden="false" customHeight="true" outlineLevel="0" collapsed="false">
      <c r="A3" s="21" t="s">
        <v>62</v>
      </c>
      <c r="B3" s="11" t="s">
        <v>63</v>
      </c>
    </row>
    <row r="4" customFormat="false" ht="48" hidden="false" customHeight="true" outlineLevel="0" collapsed="false">
      <c r="A4" s="21" t="s">
        <v>64</v>
      </c>
      <c r="B4" s="11" t="s">
        <v>65</v>
      </c>
    </row>
    <row r="5" customFormat="false" ht="48" hidden="false" customHeight="true" outlineLevel="0" collapsed="false">
      <c r="A5" s="21" t="s">
        <v>66</v>
      </c>
      <c r="B5" s="11" t="s">
        <v>67</v>
      </c>
    </row>
    <row r="6" customFormat="false" ht="48" hidden="false" customHeight="true" outlineLevel="0" collapsed="false">
      <c r="A6" s="21" t="s">
        <v>68</v>
      </c>
      <c r="B6" s="11" t="s">
        <v>69</v>
      </c>
    </row>
    <row r="7" customFormat="false" ht="48" hidden="false" customHeight="true" outlineLevel="0" collapsed="false">
      <c r="A7" s="21" t="s">
        <v>29</v>
      </c>
      <c r="B7" s="11" t="s">
        <v>70</v>
      </c>
    </row>
    <row r="8" customFormat="false" ht="48" hidden="false" customHeight="true" outlineLevel="0" collapsed="false">
      <c r="A8" s="21" t="s">
        <v>32</v>
      </c>
      <c r="B8" s="11" t="s">
        <v>71</v>
      </c>
    </row>
    <row r="9" customFormat="false" ht="48" hidden="false" customHeight="true" outlineLevel="0" collapsed="false">
      <c r="A9" s="21" t="s">
        <v>72</v>
      </c>
      <c r="B9" s="11" t="s">
        <v>73</v>
      </c>
    </row>
    <row r="10" customFormat="false" ht="48" hidden="false" customHeight="true" outlineLevel="0" collapsed="false">
      <c r="A10" s="21" t="s">
        <v>74</v>
      </c>
      <c r="B10" s="11" t="s">
        <v>75</v>
      </c>
    </row>
    <row r="11" customFormat="false" ht="48" hidden="false" customHeight="true" outlineLevel="0" collapsed="false">
      <c r="A11" s="21" t="s">
        <v>76</v>
      </c>
      <c r="B11" s="11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2026-10-27T07:10:27Z</dcterms:created>
  <dc:creator>openpyxl</dc:creator>
  <dc:description/>
  <dc:language>en-US</dc:language>
  <cp:lastModifiedBy/>
  <dcterms:modified xsi:type="dcterms:W3CDTF">2026-10-27T07:10:27Z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