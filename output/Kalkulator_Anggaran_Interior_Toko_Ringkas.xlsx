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Kalkulator" sheetId="2" state="visible" r:id="rId4"/>
    <sheet name="Parame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<sst xmlns="http://schemas.openxmlformats.org/spreadsheetml/2006/main" count="111" uniqueCount="98">
  <si>
    <t xml:space="preserve">PETUNJUK — Kalkulator Anggaran Interior Toko (versi ringkas)</t>
  </si>
  <si>
    <t xml:space="preserve">Untuk menentukan kisaran anggaran interior yang masuk akal secara bisnis, cukup dengan 4 data: kategori usaha, luas toko, target penjualan per m², dan lokasi (mall/ruko). Asumsi masa sewa 5 tahun.</t>
  </si>
  <si>
    <t xml:space="preserve">LEGENDA WARNA</t>
  </si>
  <si>
    <t xml:space="preserve">Isi di sini</t>
  </si>
  <si>
    <t xml:space="preserve">KUNING = boleh diisi / diubah.</t>
  </si>
  <si>
    <t xml:space="preserve">Rumus</t>
  </si>
  <si>
    <t xml:space="preserve">ABU-ABU = dihitung otomatis. Jangan diketik ulang.</t>
  </si>
  <si>
    <t xml:space="preserve">Hasil utama</t>
  </si>
  <si>
    <t xml:space="preserve">BIRU MUDA = angka yang dibawa ke klien.</t>
  </si>
  <si>
    <t xml:space="preserve">Status</t>
  </si>
  <si>
    <t xml:space="preserve">Hijau = longgar, kuning = sesuai, merah = tidak cukup.</t>
  </si>
  <si>
    <t xml:space="preserve">CARA PAKAI (3 langkah)</t>
  </si>
  <si>
    <t xml:space="preserve">Langkah 1</t>
  </si>
  <si>
    <t xml:space="preserve">Buka sheet Kalkulator. Isi 4 sel kuning: kategori usaha (pilih ▼), luas toko (m²), target penjualan per m² per bulan (Rupiah penuh), lokasi (pilih ▼). Isian awal adalah CONTOH — timpa saja.</t>
  </si>
  <si>
    <t xml:space="preserve">Langkah 2</t>
  </si>
  <si>
    <t xml:space="preserve">Baca bagian 2: anggaran interior Basic / Standard / Signature (total &amp; per m²). Standard adalah rekomendasi.</t>
  </si>
  <si>
    <t xml:space="preserve">Langkah 3</t>
  </si>
  <si>
    <t xml:space="preserve">Baca bagian 3: jika status TIDAK CUKUP (merah), sederhanakan desain atau konfirmasi ulang target penjualan dengan klien. Pakai bagian 4 sebagai batas anggaran tiap elemen desain.</t>
  </si>
  <si>
    <t xml:space="preserve">RUMUSNYA</t>
  </si>
  <si>
    <t xml:space="preserve">Rumus inti</t>
  </si>
  <si>
    <t xml:space="preserve">Anggaran interior = Penjualan per tahun × K</t>
  </si>
  <si>
    <t xml:space="preserve">Faktor K</t>
  </si>
  <si>
    <t xml:space="preserve">Persentase penjualan setahun yang wajar untuk interior, berbeda per kategori. Usaha bermargin tinggi (F&amp;B, fashion) K-nya besar; margin tipis/stok besar (minimarket, big-box) K-nya kecil.</t>
  </si>
  <si>
    <t xml:space="preserve">Cek biaya pasar</t>
  </si>
  <si>
    <t xml:space="preserve">Membandingkan anggaran per m² dengan biaya pasar interior per m² di lokasi tersebut.</t>
  </si>
  <si>
    <t xml:space="preserve">CATATAN</t>
  </si>
  <si>
    <t xml:space="preserve">• Sepakati dengan klien apa saja yang termasuk 'interior' (MEP/AC, rak, signage, fasad?) sebelum mulai desain.</t>
  </si>
  <si>
    <t xml:space="preserve">• Semua angka di sheet Parameter adalah kisaran indikatif, bukan data resmi atau milik merek tertentu.</t>
  </si>
  <si>
    <t xml:space="preserve">• Sheet Parameter biasanya tidak perlu diubah.</t>
  </si>
  <si>
    <t xml:space="preserve">KALKULATOR ANGGARAN INTERIOR TOKO (versi ringkas)</t>
  </si>
  <si>
    <t xml:space="preserve">Cukup isi 4 data. Asumsi: masa sewa 5 tahun.</t>
  </si>
  <si>
    <t xml:space="preserve">Legenda:</t>
  </si>
  <si>
    <t xml:space="preserve">Rumus otomatis</t>
  </si>
  <si>
    <t xml:space="preserve">1. ISI DATA (4 sel kuning)</t>
  </si>
  <si>
    <t xml:space="preserve">Kategori usaha</t>
  </si>
  <si>
    <t xml:space="preserve">Perlengkapan rumah &amp; perkakas (big-box)</t>
  </si>
  <si>
    <t xml:space="preserve">Pilih dari daftar ▼</t>
  </si>
  <si>
    <t xml:space="preserve">Luas toko (m²)</t>
  </si>
  <si>
    <t xml:space="preserve">Angka saja, contoh: 3000</t>
  </si>
  <si>
    <t xml:space="preserve">Target penjualan per m² per bulan (Rp)</t>
  </si>
  <si>
    <t xml:space="preserve">Rupiah penuh, contoh: 2500000. Jika data per tahun, bagi 12.</t>
  </si>
  <si>
    <t xml:space="preserve">Lokasi</t>
  </si>
  <si>
    <t xml:space="preserve">Mall</t>
  </si>
  <si>
    <t xml:space="preserve">Pilih Mall atau Ruko ▼</t>
  </si>
  <si>
    <t xml:space="preserve">2. ANGGARAN INTERIOR YANG LAYAK</t>
  </si>
  <si>
    <t xml:space="preserve">Penjualan per tahun</t>
  </si>
  <si>
    <t xml:space="preserve">Luas × target penjualan per m² × 12 bulan</t>
  </si>
  <si>
    <t xml:space="preserve">Tingkat konsep</t>
  </si>
  <si>
    <t xml:space="preserve">K</t>
  </si>
  <si>
    <t xml:space="preserve">Anggaran total</t>
  </si>
  <si>
    <t xml:space="preserve">Anggaran per m²</t>
  </si>
  <si>
    <t xml:space="preserve">Arahan konsep</t>
  </si>
  <si>
    <t xml:space="preserve">Basic</t>
  </si>
  <si>
    <t xml:space="preserve">Fungsional, material standar.</t>
  </si>
  <si>
    <t xml:space="preserve">Standard (rekomendasi)</t>
  </si>
  <si>
    <t xml:space="preserve">Seimbang: royal di area depan, pencahayaan &amp; signage; hemat di belakang.</t>
  </si>
  <si>
    <t xml:space="preserve">Signature</t>
  </si>
  <si>
    <t xml:space="preserve">Konsep kuat &amp; material lebih baik.</t>
  </si>
  <si>
    <t xml:space="preserve">3. CEK: apakah anggaran cukup untuk biaya pasar?</t>
  </si>
  <si>
    <t xml:space="preserve">Biaya pasar interior per m² (min – maks)</t>
  </si>
  <si>
    <t xml:space="preserve">← sudah disesuaikan lokasi</t>
  </si>
  <si>
    <t xml:space="preserve">STATUS</t>
  </si>
  <si>
    <t xml:space="preserve">4. PEMBAGIAN ANGGARAN STANDARD PER ELEMEN</t>
  </si>
  <si>
    <t xml:space="preserve">Elemen</t>
  </si>
  <si>
    <t xml:space="preserve">Porsi %</t>
  </si>
  <si>
    <t xml:space="preserve">Anggaran</t>
  </si>
  <si>
    <t xml:space="preserve">Per m²</t>
  </si>
  <si>
    <t xml:space="preserve">Rak / fixture / furnitur display</t>
  </si>
  <si>
    <t xml:space="preserve">Pencahayaan &amp; listrik</t>
  </si>
  <si>
    <t xml:space="preserve">Lantai, dinding, plafon</t>
  </si>
  <si>
    <t xml:space="preserve">Fasad &amp; signage</t>
  </si>
  <si>
    <t xml:space="preserve">Zona khusus / area pelanggan</t>
  </si>
  <si>
    <t xml:space="preserve">Cadangan (contingency)</t>
  </si>
  <si>
    <t xml:space="preserve">TOTAL</t>
  </si>
  <si>
    <t xml:space="preserve">Catatan: angka indikatif untuk diskusi awal dengan klien, bukan patokan pasti. Validasi dengan penawaran kontraktor.</t>
  </si>
  <si>
    <t xml:space="preserve">PARAMETER (acuan industri)</t>
  </si>
  <si>
    <t xml:space="preserve">Biasanya tidak perlu diubah. Sel kuning boleh diubah jika Anda punya data yang lebih baik. Angka indikatif (Jabodetabek, kualitas menengah, ±2025–2026), asumsi masa sewa 5 tahun.</t>
  </si>
  <si>
    <t xml:space="preserve">TABEL 1 — Faktor K &amp; biaya pasar interior</t>
  </si>
  <si>
    <t xml:space="preserve">K min</t>
  </si>
  <si>
    <t xml:space="preserve">K maks</t>
  </si>
  <si>
    <t xml:space="preserve">Biaya pasar min (Rp/m²)</t>
  </si>
  <si>
    <t xml:space="preserve">Biaya pasar maks (Rp/m²)</t>
  </si>
  <si>
    <t xml:space="preserve">Kafe / resto (F&amp;B)</t>
  </si>
  <si>
    <t xml:space="preserve">Fashion / aksesoris</t>
  </si>
  <si>
    <t xml:space="preserve">Salon</t>
  </si>
  <si>
    <t xml:space="preserve">Klinik kecantikan / kesehatan</t>
  </si>
  <si>
    <t xml:space="preserve">Furnitur &amp; dekorasi rumah (big-box)</t>
  </si>
  <si>
    <t xml:space="preserve">Apotek / toko kesehatan</t>
  </si>
  <si>
    <t xml:space="preserve">Minimarket / grocery</t>
  </si>
  <si>
    <t xml:space="preserve">Elektronik / gadget</t>
  </si>
  <si>
    <t xml:space="preserve">K = anggaran interior ÷ penjualan setahun. Biaya pasar = biaya interior per m² di MALL.</t>
  </si>
  <si>
    <t xml:space="preserve">TABEL 2 — Faktor lokasi (mengali biaya pasar)</t>
  </si>
  <si>
    <t xml:space="preserve">Faktor</t>
  </si>
  <si>
    <t xml:space="preserve">Standar pengelola mall membuat fit-out lebih mahal.</t>
  </si>
  <si>
    <t xml:space="preserve">Ruko</t>
  </si>
  <si>
    <t xml:space="preserve">Ruko umumnya ±15% lebih murah.</t>
  </si>
  <si>
    <t xml:space="preserve">TABEL 3 — Alokasi anggaran per elemen (% dari total)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</si>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</sst>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#,##0;\-"/>
    <numFmt numFmtId="166" formatCode="&quot;Rp &quot;#,##0;&quot;-Rp &quot;#,##0;\-"/>
    <numFmt numFmtId="167" formatCode="0.0%;\-0.0%;\-"/>
    <numFmt numFmtId="168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C6EFCE"/>
        <bgColor rgb="FFDDEBF7"/>
      </patternFill>
    </fill>
    <fill>
      <patternFill patternType="solid">
        <fgColor rgb="FFD9E1F2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9.7" hidden="false" customHeight="false" outlineLevel="0" collapsed="false">
      <c r="B1" s="1" t="s">
        <v>0</v>
      </c>
      <c r="C1" s="1"/>
    </row>
    <row r="2" customFormat="false" ht="30" hidden="false" customHeight="true" outlineLevel="0" collapsed="false">
      <c r="B2" s="2" t="s">
        <v>1</v>
      </c>
      <c r="C2" s="2"/>
    </row>
    <row r="4" customFormat="false" ht="19.5" hidden="false" customHeight="true" outlineLevel="0" collapsed="false">
      <c r="B4" s="3" t="s">
        <v>2</v>
      </c>
      <c r="C4" s="3"/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5</v>
      </c>
      <c r="C6" s="5" t="s">
        <v>6</v>
      </c>
    </row>
    <row r="7" customFormat="false" ht="15" hidden="false" customHeight="false" outlineLevel="0" collapsed="false">
      <c r="B7" s="7" t="s">
        <v>7</v>
      </c>
      <c r="C7" s="5" t="s">
        <v>8</v>
      </c>
    </row>
    <row r="8" customFormat="false" ht="15" hidden="false" customHeight="false" outlineLevel="0" collapsed="false">
      <c r="B8" s="8" t="s">
        <v>9</v>
      </c>
      <c r="C8" s="5" t="s">
        <v>10</v>
      </c>
    </row>
    <row r="10" customFormat="false" ht="19.5" hidden="false" customHeight="true" outlineLevel="0" collapsed="false">
      <c r="B10" s="3" t="s">
        <v>11</v>
      </c>
      <c r="C10" s="3"/>
    </row>
    <row r="11" customFormat="false" ht="31.5" hidden="false" customHeight="true" outlineLevel="0" collapsed="false">
      <c r="B11" s="9" t="s">
        <v>12</v>
      </c>
      <c r="C11" s="5" t="s">
        <v>13</v>
      </c>
    </row>
    <row r="12" customFormat="false" ht="31.5" hidden="false" customHeight="true" outlineLevel="0" collapsed="false">
      <c r="B12" s="9" t="s">
        <v>14</v>
      </c>
      <c r="C12" s="5" t="s">
        <v>15</v>
      </c>
    </row>
    <row r="13" customFormat="false" ht="31.5" hidden="false" customHeight="true" outlineLevel="0" collapsed="false">
      <c r="B13" s="9" t="s">
        <v>16</v>
      </c>
      <c r="C13" s="5" t="s">
        <v>17</v>
      </c>
    </row>
    <row r="15" customFormat="false" ht="19.5" hidden="false" customHeight="true" outlineLevel="0" collapsed="false">
      <c r="B15" s="3" t="s">
        <v>18</v>
      </c>
      <c r="C15" s="3"/>
    </row>
    <row r="16" customFormat="false" ht="30" hidden="false" customHeight="true" outlineLevel="0" collapsed="false">
      <c r="B16" s="9" t="s">
        <v>19</v>
      </c>
      <c r="C16" s="5" t="s">
        <v>20</v>
      </c>
    </row>
    <row r="17" customFormat="false" ht="30" hidden="false" customHeight="true" outlineLevel="0" collapsed="false">
      <c r="B17" s="9" t="s">
        <v>21</v>
      </c>
      <c r="C17" s="5" t="s">
        <v>22</v>
      </c>
    </row>
    <row r="18" customFormat="false" ht="30" hidden="false" customHeight="true" outlineLevel="0" collapsed="false">
      <c r="B18" s="9" t="s">
        <v>23</v>
      </c>
      <c r="C18" s="5" t="s">
        <v>24</v>
      </c>
    </row>
    <row r="20" customFormat="false" ht="19.5" hidden="false" customHeight="true" outlineLevel="0" collapsed="false">
      <c r="B20" s="3" t="s">
        <v>25</v>
      </c>
      <c r="C20" s="3"/>
    </row>
    <row r="21" customFormat="false" ht="30" hidden="false" customHeight="true" outlineLevel="0" collapsed="false">
      <c r="C21" s="5" t="s">
        <v>26</v>
      </c>
    </row>
    <row r="22" customFormat="false" ht="15" hidden="false" customHeight="false" outlineLevel="0" collapsed="false">
      <c r="C22" s="5" t="s">
        <v>27</v>
      </c>
    </row>
    <row r="23" customFormat="false" ht="15" hidden="false" customHeight="false" outlineLevel="0" collapsed="false">
      <c r="C23" s="5" t="s">
        <v>28</v>
      </c>
    </row>
  </sheetData>
  <mergeCells count="6">
    <mergeCell ref="B1:C1"/>
    <mergeCell ref="B2:C2"/>
    <mergeCell ref="B4:C4"/>
    <mergeCell ref="B10:C10"/>
    <mergeCell ref="B15:C15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55"/>
  </cols>
  <sheetData>
    <row r="1" customFormat="false" ht="19.7" hidden="false" customHeight="false" outlineLevel="0" collapsed="false">
      <c r="B1" s="10" t="s">
        <v>29</v>
      </c>
    </row>
    <row r="2" customFormat="false" ht="15" hidden="false" customHeight="false" outlineLevel="0" collapsed="false">
      <c r="B2" s="11" t="s">
        <v>30</v>
      </c>
    </row>
    <row r="3" customFormat="false" ht="15" hidden="false" customHeight="false" outlineLevel="0" collapsed="false">
      <c r="B3" s="9" t="s">
        <v>31</v>
      </c>
      <c r="C3" s="12" t="s">
        <v>3</v>
      </c>
      <c r="D3" s="13" t="s">
        <v>32</v>
      </c>
      <c r="E3" s="14" t="s">
        <v>7</v>
      </c>
    </row>
    <row r="5" customFormat="false" ht="19.5" hidden="false" customHeight="true" outlineLevel="0" collapsed="false">
      <c r="B5" s="3" t="s">
        <v>33</v>
      </c>
      <c r="C5" s="3"/>
      <c r="D5" s="3"/>
      <c r="E5" s="3"/>
      <c r="F5" s="3"/>
    </row>
    <row r="6" customFormat="false" ht="15" hidden="false" customHeight="false" outlineLevel="0" collapsed="false">
      <c r="B6" s="15" t="s">
        <v>34</v>
      </c>
      <c r="C6" s="4" t="s">
        <v>35</v>
      </c>
      <c r="D6" s="16" t="s">
        <v>36</v>
      </c>
      <c r="E6" s="16"/>
      <c r="F6" s="16"/>
    </row>
    <row r="7" customFormat="false" ht="15" hidden="false" customHeight="false" outlineLevel="0" collapsed="false">
      <c r="B7" s="15" t="s">
        <v>37</v>
      </c>
      <c r="C7" s="17" t="n">
        <v>3000</v>
      </c>
      <c r="D7" s="16" t="s">
        <v>38</v>
      </c>
      <c r="E7" s="16"/>
      <c r="F7" s="16"/>
    </row>
    <row r="8" customFormat="false" ht="15" hidden="false" customHeight="false" outlineLevel="0" collapsed="false">
      <c r="B8" s="15" t="s">
        <v>39</v>
      </c>
      <c r="C8" s="18" t="n">
        <v>2500000</v>
      </c>
      <c r="D8" s="16" t="s">
        <v>40</v>
      </c>
      <c r="E8" s="16"/>
      <c r="F8" s="16"/>
    </row>
    <row r="9" customFormat="false" ht="15" hidden="false" customHeight="false" outlineLevel="0" collapsed="false">
      <c r="B9" s="15" t="s">
        <v>41</v>
      </c>
      <c r="C9" s="4" t="s">
        <v>42</v>
      </c>
      <c r="D9" s="16" t="s">
        <v>43</v>
      </c>
      <c r="E9" s="16"/>
      <c r="F9" s="16"/>
    </row>
    <row r="11" customFormat="false" ht="19.5" hidden="false" customHeight="true" outlineLevel="0" collapsed="false">
      <c r="B11" s="3" t="s">
        <v>44</v>
      </c>
      <c r="C11" s="3"/>
      <c r="D11" s="3"/>
      <c r="E11" s="3"/>
      <c r="F11" s="3"/>
    </row>
    <row r="12" customFormat="false" ht="15" hidden="false" customHeight="false" outlineLevel="0" collapsed="false">
      <c r="B12" s="19" t="s">
        <v>45</v>
      </c>
      <c r="C12" s="20" t="n">
        <f aca="false">C7*C8*12</f>
        <v>90000000000</v>
      </c>
      <c r="D12" s="16" t="s">
        <v>46</v>
      </c>
      <c r="E12" s="16"/>
      <c r="F12" s="16"/>
    </row>
    <row r="14" customFormat="false" ht="15" hidden="false" customHeight="false" outlineLevel="0" collapsed="false">
      <c r="B14" s="21" t="s">
        <v>47</v>
      </c>
      <c r="C14" s="21" t="s">
        <v>48</v>
      </c>
      <c r="D14" s="21" t="s">
        <v>49</v>
      </c>
      <c r="E14" s="21" t="s">
        <v>50</v>
      </c>
      <c r="F14" s="21" t="s">
        <v>51</v>
      </c>
    </row>
    <row r="15" customFormat="false" ht="30" hidden="false" customHeight="true" outlineLevel="0" collapsed="false">
      <c r="B15" s="15" t="s">
        <v>52</v>
      </c>
      <c r="C15" s="22" t="n">
        <f aca="false">INDEX(Parameter!$B$6:$B$14,MATCH($C$6,Parameter!$A$6:$A$14,0))</f>
        <v>0.09</v>
      </c>
      <c r="D15" s="23" t="n">
        <f aca="false">$C$12*C15</f>
        <v>8100000000</v>
      </c>
      <c r="E15" s="23" t="n">
        <f aca="false">IF($C$7&gt;0,D15/$C$7,0)</f>
        <v>2700000</v>
      </c>
      <c r="F15" s="24" t="s">
        <v>53</v>
      </c>
    </row>
    <row r="16" customFormat="false" ht="30" hidden="false" customHeight="true" outlineLevel="0" collapsed="false">
      <c r="B16" s="15" t="s">
        <v>54</v>
      </c>
      <c r="C16" s="22" t="n">
        <f aca="false">AVERAGE(C15,C17)</f>
        <v>0.11</v>
      </c>
      <c r="D16" s="23" t="n">
        <f aca="false">$C$12*C16</f>
        <v>9900000000</v>
      </c>
      <c r="E16" s="23" t="n">
        <f aca="false">IF($C$7&gt;0,D16/$C$7,0)</f>
        <v>3300000</v>
      </c>
      <c r="F16" s="24" t="s">
        <v>55</v>
      </c>
    </row>
    <row r="17" customFormat="false" ht="30" hidden="false" customHeight="true" outlineLevel="0" collapsed="false">
      <c r="B17" s="15" t="s">
        <v>56</v>
      </c>
      <c r="C17" s="22" t="n">
        <f aca="false">INDEX(Parameter!$C$6:$C$14,MATCH($C$6,Parameter!$A$6:$A$14,0))</f>
        <v>0.13</v>
      </c>
      <c r="D17" s="23" t="n">
        <f aca="false">$C$12*C17</f>
        <v>11700000000</v>
      </c>
      <c r="E17" s="23" t="n">
        <f aca="false">IF($C$7&gt;0,D17/$C$7,0)</f>
        <v>3900000</v>
      </c>
      <c r="F17" s="24" t="s">
        <v>57</v>
      </c>
    </row>
    <row r="19" customFormat="false" ht="19.5" hidden="false" customHeight="true" outlineLevel="0" collapsed="false">
      <c r="B19" s="3" t="s">
        <v>58</v>
      </c>
      <c r="C19" s="3"/>
      <c r="D19" s="3"/>
      <c r="E19" s="3"/>
      <c r="F19" s="3"/>
    </row>
    <row r="20" customFormat="false" ht="15" hidden="false" customHeight="false" outlineLevel="0" collapsed="false">
      <c r="B20" s="19" t="s">
        <v>59</v>
      </c>
      <c r="C20" s="20" t="n">
        <f aca="false">INDEX(Parameter!$D$6:$D$14,MATCH($C$6,Parameter!$A$6:$A$14,0))*INDEX(Parameter!$B$19:$B$20,MATCH($C$9,Parameter!$A$19:$A$20,0))</f>
        <v>2000000</v>
      </c>
      <c r="D20" s="20" t="n">
        <f aca="false">INDEX(Parameter!$E$6:$E$14,MATCH($C$6,Parameter!$A$6:$A$14,0))*INDEX(Parameter!$B$19:$B$20,MATCH($C$9,Parameter!$A$19:$A$20,0))</f>
        <v>4000000</v>
      </c>
      <c r="E20" s="11" t="s">
        <v>60</v>
      </c>
    </row>
    <row r="21" customFormat="false" ht="30" hidden="false" customHeight="true" outlineLevel="0" collapsed="false">
      <c r="B21" s="15" t="s">
        <v>61</v>
      </c>
      <c r="C21" s="25" t="str">
        <f aca="false">IF(E16&gt;=D20,"LONGGAR — anggaran Standard di atas biaya pasar. Ada ruang untuk konsep lebih kuat.",IF(E16&gt;=C20,"SESUAI — anggaran Standard berada di kisaran biaya pasar. Desain kualitas menengah aman.","TIDAK CUKUP — anggaran di bawah biaya pasar. Sederhanakan desain atau cek ulang target penjualan dengan klien."))</f>
        <v>SESUAI — anggaran Standard berada di kisaran biaya pasar. Desain kualitas menengah aman.</v>
      </c>
      <c r="D21" s="25"/>
      <c r="E21" s="25"/>
      <c r="F21" s="25"/>
    </row>
    <row r="23" customFormat="false" ht="19.5" hidden="false" customHeight="true" outlineLevel="0" collapsed="false">
      <c r="B23" s="3" t="s">
        <v>62</v>
      </c>
      <c r="C23" s="3"/>
      <c r="D23" s="3"/>
      <c r="E23" s="3"/>
      <c r="F23" s="3"/>
    </row>
    <row r="24" customFormat="false" ht="15" hidden="false" customHeight="false" outlineLevel="0" collapsed="false">
      <c r="B24" s="21" t="s">
        <v>63</v>
      </c>
      <c r="C24" s="21" t="s">
        <v>64</v>
      </c>
      <c r="D24" s="21" t="s">
        <v>65</v>
      </c>
      <c r="E24" s="21" t="s">
        <v>66</v>
      </c>
    </row>
    <row r="25" customFormat="false" ht="15" hidden="false" customHeight="false" outlineLevel="0" collapsed="false">
      <c r="B25" s="19" t="s">
        <v>67</v>
      </c>
      <c r="C25" s="22" t="n">
        <f aca="false">INDEX(Parameter!$B$25:$B$33,MATCH($C$6,Parameter!$A$6:$A$14,0))</f>
        <v>0.4</v>
      </c>
      <c r="D25" s="26" t="n">
        <f aca="false">$D$16*C25</f>
        <v>3960000000</v>
      </c>
      <c r="E25" s="20" t="n">
        <f aca="false">IF($C$7&gt;0,D25/$C$7,0)</f>
        <v>1320000</v>
      </c>
    </row>
    <row r="26" customFormat="false" ht="15" hidden="false" customHeight="false" outlineLevel="0" collapsed="false">
      <c r="B26" s="19" t="s">
        <v>68</v>
      </c>
      <c r="C26" s="22" t="n">
        <f aca="false">INDEX(Parameter!$C$25:$C$33,MATCH($C$6,Parameter!$A$6:$A$14,0))</f>
        <v>0.17</v>
      </c>
      <c r="D26" s="26" t="n">
        <f aca="false">$D$16*C26</f>
        <v>1683000000</v>
      </c>
      <c r="E26" s="20" t="n">
        <f aca="false">IF($C$7&gt;0,D26/$C$7,0)</f>
        <v>561000</v>
      </c>
    </row>
    <row r="27" customFormat="false" ht="15" hidden="false" customHeight="false" outlineLevel="0" collapsed="false">
      <c r="B27" s="19" t="s">
        <v>69</v>
      </c>
      <c r="C27" s="22" t="n">
        <f aca="false">INDEX(Parameter!$D$25:$D$33,MATCH($C$6,Parameter!$A$6:$A$14,0))</f>
        <v>0.17</v>
      </c>
      <c r="D27" s="26" t="n">
        <f aca="false">$D$16*C27</f>
        <v>1683000000</v>
      </c>
      <c r="E27" s="20" t="n">
        <f aca="false">IF($C$7&gt;0,D27/$C$7,0)</f>
        <v>561000</v>
      </c>
    </row>
    <row r="28" customFormat="false" ht="15" hidden="false" customHeight="false" outlineLevel="0" collapsed="false">
      <c r="B28" s="19" t="s">
        <v>70</v>
      </c>
      <c r="C28" s="22" t="n">
        <f aca="false">INDEX(Parameter!$E$25:$E$33,MATCH($C$6,Parameter!$A$6:$A$14,0))</f>
        <v>0.1</v>
      </c>
      <c r="D28" s="26" t="n">
        <f aca="false">$D$16*C28</f>
        <v>990000000</v>
      </c>
      <c r="E28" s="20" t="n">
        <f aca="false">IF($C$7&gt;0,D28/$C$7,0)</f>
        <v>330000</v>
      </c>
    </row>
    <row r="29" customFormat="false" ht="15" hidden="false" customHeight="false" outlineLevel="0" collapsed="false">
      <c r="B29" s="19" t="s">
        <v>71</v>
      </c>
      <c r="C29" s="22" t="n">
        <f aca="false">INDEX(Parameter!$F$25:$F$33,MATCH($C$6,Parameter!$A$6:$A$14,0))</f>
        <v>0.09</v>
      </c>
      <c r="D29" s="26" t="n">
        <f aca="false">$D$16*C29</f>
        <v>891000000</v>
      </c>
      <c r="E29" s="20" t="n">
        <f aca="false">IF($C$7&gt;0,D29/$C$7,0)</f>
        <v>297000</v>
      </c>
    </row>
    <row r="30" customFormat="false" ht="15" hidden="false" customHeight="false" outlineLevel="0" collapsed="false">
      <c r="B30" s="19" t="s">
        <v>72</v>
      </c>
      <c r="C30" s="22" t="n">
        <f aca="false">INDEX(Parameter!$G$25:$G$33,MATCH($C$6,Parameter!$A$6:$A$14,0))</f>
        <v>0.07</v>
      </c>
      <c r="D30" s="26" t="n">
        <f aca="false">$D$16*C30</f>
        <v>693000000</v>
      </c>
      <c r="E30" s="20" t="n">
        <f aca="false">IF($C$7&gt;0,D30/$C$7,0)</f>
        <v>231000</v>
      </c>
    </row>
    <row r="31" customFormat="false" ht="15" hidden="false" customHeight="false" outlineLevel="0" collapsed="false">
      <c r="B31" s="15" t="s">
        <v>73</v>
      </c>
      <c r="C31" s="27" t="n">
        <f aca="false">SUM(C25:C30)</f>
        <v>1</v>
      </c>
      <c r="D31" s="28" t="n">
        <f aca="false">SUM(D25:D30)</f>
        <v>9900000000</v>
      </c>
      <c r="E31" s="28" t="n">
        <f aca="false">SUM(E25:E30)</f>
        <v>3300000</v>
      </c>
    </row>
    <row r="33" customFormat="false" ht="15" hidden="false" customHeight="true" outlineLevel="0" collapsed="false">
      <c r="B33" s="29" t="s">
        <v>74</v>
      </c>
      <c r="C33" s="29"/>
      <c r="D33" s="29"/>
      <c r="E33" s="29"/>
      <c r="F33" s="29"/>
    </row>
  </sheetData>
  <mergeCells count="11">
    <mergeCell ref="B5:F5"/>
    <mergeCell ref="D6:F6"/>
    <mergeCell ref="D7:F7"/>
    <mergeCell ref="D8:F8"/>
    <mergeCell ref="D9:F9"/>
    <mergeCell ref="B11:F11"/>
    <mergeCell ref="D12:F12"/>
    <mergeCell ref="B19:F19"/>
    <mergeCell ref="C21:F21"/>
    <mergeCell ref="B23:F23"/>
    <mergeCell ref="B33:F33"/>
  </mergeCells>
  <conditionalFormatting sqref="C21">
    <cfRule type="expression" priority="2" aboveAverage="0" equalAverage="0" bottom="0" percent="0" rank="0" text="" dxfId="0">
      <formula>LEFT($C$21,7)="LONGGAR"</formula>
    </cfRule>
    <cfRule type="expression" priority="3" aboveAverage="0" equalAverage="0" bottom="0" percent="0" rank="0" text="" dxfId="1">
      <formula>LEFT($C$21,6)="SESUAI"</formula>
    </cfRule>
    <cfRule type="expression" priority="4" aboveAverage="0" equalAverage="0" bottom="0" percent="0" rank="0" text="" dxfId="2">
      <formula>LEFT($C$21,5)="TIDAK"</formula>
    </cfRule>
  </conditionalFormatting>
  <dataValidations count="3">
    <dataValidation allowBlank="false" error="Pilih dari daftar." errorStyle="stop" errorTitle="Pilihan tidak valid" operator="between" prompt="Pilih kategori usaha" promptTitle="Pilih" showDropDown="false" showErrorMessage="true" showInputMessage="true" sqref="C6" type="list">
      <formula1>Parameter!$A$6:$A$14</formula1>
      <formula2>0</formula2>
    </dataValidation>
    <dataValidation allowBlank="false" error="Pilih dari daftar." errorStyle="stop" errorTitle="Pilihan tidak valid" operator="between" prompt="Mall atau Ruko" promptTitle="Pilih" showDropDown="false" showErrorMessage="true" showInputMessage="true" sqref="C9" type="list">
      <formula1>Parameter!$A$19:$A$20</formula1>
      <formula2>0</formula2>
    </dataValidation>
    <dataValidation allowBlank="false" error="Isi angka lebih dari 0." errorStyle="stop" errorTitle="Angka tidak valid" operator="greaterThan" showDropDown="false" showErrorMessage="true" showInputMessage="false" sqref="C7:C8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0"/>
    <col collapsed="false" customWidth="true" hidden="false" outlineLevel="0" max="5" min="4" style="0" width="18"/>
    <col collapsed="false" customWidth="true" hidden="false" outlineLevel="0" max="10" min="6" style="0" width="14"/>
  </cols>
  <sheetData>
    <row r="1" customFormat="false" ht="17.35" hidden="false" customHeight="false" outlineLevel="0" collapsed="false">
      <c r="A1" s="30" t="s">
        <v>75</v>
      </c>
    </row>
    <row r="2" customFormat="false" ht="15" hidden="false" customHeight="false" outlineLevel="0" collapsed="false">
      <c r="A2" s="16" t="s">
        <v>76</v>
      </c>
      <c r="B2" s="16"/>
      <c r="C2" s="16"/>
      <c r="D2" s="16"/>
      <c r="E2" s="16"/>
      <c r="F2" s="16"/>
      <c r="G2" s="16"/>
      <c r="H2" s="16"/>
      <c r="I2" s="16"/>
      <c r="J2" s="16"/>
    </row>
    <row r="4" customFormat="false" ht="15" hidden="false" customHeight="false" outlineLevel="0" collapsed="false">
      <c r="A4" s="31" t="s">
        <v>77</v>
      </c>
    </row>
    <row r="5" customFormat="false" ht="31.5" hidden="false" customHeight="true" outlineLevel="0" collapsed="false">
      <c r="A5" s="32" t="s">
        <v>34</v>
      </c>
      <c r="B5" s="32" t="s">
        <v>78</v>
      </c>
      <c r="C5" s="32" t="s">
        <v>79</v>
      </c>
      <c r="D5" s="32" t="s">
        <v>80</v>
      </c>
      <c r="E5" s="32" t="s">
        <v>81</v>
      </c>
    </row>
    <row r="6" customFormat="false" ht="15" hidden="false" customHeight="false" outlineLevel="0" collapsed="false">
      <c r="A6" s="19" t="s">
        <v>82</v>
      </c>
      <c r="B6" s="33" t="n">
        <v>0.18</v>
      </c>
      <c r="C6" s="33" t="n">
        <v>0.3</v>
      </c>
      <c r="D6" s="18" t="n">
        <v>4000000</v>
      </c>
      <c r="E6" s="18" t="n">
        <v>8000000</v>
      </c>
    </row>
    <row r="7" customFormat="false" ht="15" hidden="false" customHeight="false" outlineLevel="0" collapsed="false">
      <c r="A7" s="19" t="s">
        <v>83</v>
      </c>
      <c r="B7" s="33" t="n">
        <v>0.2</v>
      </c>
      <c r="C7" s="33" t="n">
        <v>0.35</v>
      </c>
      <c r="D7" s="18" t="n">
        <v>3000000</v>
      </c>
      <c r="E7" s="18" t="n">
        <v>7000000</v>
      </c>
    </row>
    <row r="8" customFormat="false" ht="15" hidden="false" customHeight="false" outlineLevel="0" collapsed="false">
      <c r="A8" s="19" t="s">
        <v>84</v>
      </c>
      <c r="B8" s="33" t="n">
        <v>0.2</v>
      </c>
      <c r="C8" s="33" t="n">
        <v>0.35</v>
      </c>
      <c r="D8" s="18" t="n">
        <v>3000000</v>
      </c>
      <c r="E8" s="18" t="n">
        <v>6000000</v>
      </c>
    </row>
    <row r="9" customFormat="false" ht="15" hidden="false" customHeight="false" outlineLevel="0" collapsed="false">
      <c r="A9" s="19" t="s">
        <v>85</v>
      </c>
      <c r="B9" s="33" t="n">
        <v>0.2</v>
      </c>
      <c r="C9" s="33" t="n">
        <v>0.35</v>
      </c>
      <c r="D9" s="18" t="n">
        <v>4000000</v>
      </c>
      <c r="E9" s="18" t="n">
        <v>8000000</v>
      </c>
    </row>
    <row r="10" customFormat="false" ht="15" hidden="false" customHeight="false" outlineLevel="0" collapsed="false">
      <c r="A10" s="19" t="s">
        <v>86</v>
      </c>
      <c r="B10" s="33" t="n">
        <v>0.1</v>
      </c>
      <c r="C10" s="33" t="n">
        <v>0.16</v>
      </c>
      <c r="D10" s="18" t="n">
        <v>2500000</v>
      </c>
      <c r="E10" s="18" t="n">
        <v>5000000</v>
      </c>
    </row>
    <row r="11" customFormat="false" ht="15" hidden="false" customHeight="false" outlineLevel="0" collapsed="false">
      <c r="A11" s="19" t="s">
        <v>35</v>
      </c>
      <c r="B11" s="33" t="n">
        <v>0.09</v>
      </c>
      <c r="C11" s="33" t="n">
        <v>0.13</v>
      </c>
      <c r="D11" s="18" t="n">
        <v>2000000</v>
      </c>
      <c r="E11" s="18" t="n">
        <v>4000000</v>
      </c>
    </row>
    <row r="12" customFormat="false" ht="15" hidden="false" customHeight="false" outlineLevel="0" collapsed="false">
      <c r="A12" s="19" t="s">
        <v>87</v>
      </c>
      <c r="B12" s="33" t="n">
        <v>0.04</v>
      </c>
      <c r="C12" s="33" t="n">
        <v>0.08</v>
      </c>
      <c r="D12" s="18" t="n">
        <v>1500000</v>
      </c>
      <c r="E12" s="18" t="n">
        <v>3000000</v>
      </c>
    </row>
    <row r="13" customFormat="false" ht="15" hidden="false" customHeight="false" outlineLevel="0" collapsed="false">
      <c r="A13" s="19" t="s">
        <v>88</v>
      </c>
      <c r="B13" s="33" t="n">
        <v>0.04</v>
      </c>
      <c r="C13" s="33" t="n">
        <v>0.07</v>
      </c>
      <c r="D13" s="18" t="n">
        <v>1500000</v>
      </c>
      <c r="E13" s="18" t="n">
        <v>3000000</v>
      </c>
    </row>
    <row r="14" customFormat="false" ht="15" hidden="false" customHeight="false" outlineLevel="0" collapsed="false">
      <c r="A14" s="19" t="s">
        <v>89</v>
      </c>
      <c r="B14" s="33" t="n">
        <v>0.04</v>
      </c>
      <c r="C14" s="33" t="n">
        <v>0.09</v>
      </c>
      <c r="D14" s="18" t="n">
        <v>3000000</v>
      </c>
      <c r="E14" s="18" t="n">
        <v>6000000</v>
      </c>
    </row>
    <row r="15" customFormat="false" ht="15" hidden="false" customHeight="false" outlineLevel="0" collapsed="false">
      <c r="A15" s="11" t="s">
        <v>90</v>
      </c>
    </row>
    <row r="17" customFormat="false" ht="15" hidden="false" customHeight="false" outlineLevel="0" collapsed="false">
      <c r="A17" s="31" t="s">
        <v>91</v>
      </c>
    </row>
    <row r="18" customFormat="false" ht="15" hidden="false" customHeight="false" outlineLevel="0" collapsed="false">
      <c r="A18" s="34" t="s">
        <v>41</v>
      </c>
      <c r="B18" s="34" t="s">
        <v>92</v>
      </c>
    </row>
    <row r="19" customFormat="false" ht="15" hidden="false" customHeight="false" outlineLevel="0" collapsed="false">
      <c r="A19" s="4" t="s">
        <v>42</v>
      </c>
      <c r="B19" s="35" t="n">
        <v>1</v>
      </c>
      <c r="C19" s="11" t="s">
        <v>93</v>
      </c>
    </row>
    <row r="20" customFormat="false" ht="15" hidden="false" customHeight="false" outlineLevel="0" collapsed="false">
      <c r="A20" s="4" t="s">
        <v>94</v>
      </c>
      <c r="B20" s="35" t="n">
        <v>0.85</v>
      </c>
      <c r="C20" s="11" t="s">
        <v>95</v>
      </c>
    </row>
    <row r="23" customFormat="false" ht="15" hidden="false" customHeight="false" outlineLevel="0" collapsed="false">
      <c r="A23" s="31" t="s">
        <v>96</v>
      </c>
    </row>
    <row r="24" customFormat="false" ht="45" hidden="false" customHeight="true" outlineLevel="0" collapsed="false">
      <c r="A24" s="34" t="s">
        <v>34</v>
      </c>
      <c r="B24" s="32" t="s">
        <v>67</v>
      </c>
      <c r="C24" s="32" t="s">
        <v>68</v>
      </c>
      <c r="D24" s="32" t="s">
        <v>69</v>
      </c>
      <c r="E24" s="32" t="s">
        <v>70</v>
      </c>
      <c r="F24" s="32" t="s">
        <v>71</v>
      </c>
      <c r="G24" s="32" t="s">
        <v>72</v>
      </c>
      <c r="H24" s="21" t="s">
        <v>97</v>
      </c>
    </row>
    <row r="25" customFormat="false" ht="15" hidden="false" customHeight="false" outlineLevel="0" collapsed="false">
      <c r="A25" s="19" t="str">
        <f aca="false">A6</f>
        <v>Kafe / resto (F&amp;B)</v>
      </c>
      <c r="B25" s="33" t="n">
        <v>0.25</v>
      </c>
      <c r="C25" s="33" t="n">
        <v>0.15</v>
      </c>
      <c r="D25" s="33" t="n">
        <v>0.3</v>
      </c>
      <c r="E25" s="33" t="n">
        <v>0.12</v>
      </c>
      <c r="F25" s="33" t="n">
        <v>0.1</v>
      </c>
      <c r="G25" s="33" t="n">
        <v>0.08</v>
      </c>
      <c r="H25" s="22" t="n">
        <f aca="false">SUM(B25:G25)</f>
        <v>1</v>
      </c>
    </row>
    <row r="26" customFormat="false" ht="15" hidden="false" customHeight="false" outlineLevel="0" collapsed="false">
      <c r="A26" s="19" t="str">
        <f aca="false">A7</f>
        <v>Fashion / aksesoris</v>
      </c>
      <c r="B26" s="33" t="n">
        <v>0.3</v>
      </c>
      <c r="C26" s="33" t="n">
        <v>0.18</v>
      </c>
      <c r="D26" s="33" t="n">
        <v>0.25</v>
      </c>
      <c r="E26" s="33" t="n">
        <v>0.12</v>
      </c>
      <c r="F26" s="33" t="n">
        <v>0.07</v>
      </c>
      <c r="G26" s="33" t="n">
        <v>0.08</v>
      </c>
      <c r="H26" s="22" t="n">
        <f aca="false">SUM(B26:G26)</f>
        <v>1</v>
      </c>
    </row>
    <row r="27" customFormat="false" ht="15" hidden="false" customHeight="false" outlineLevel="0" collapsed="false">
      <c r="A27" s="19" t="str">
        <f aca="false">A8</f>
        <v>Salon</v>
      </c>
      <c r="B27" s="33" t="n">
        <v>0.25</v>
      </c>
      <c r="C27" s="33" t="n">
        <v>0.15</v>
      </c>
      <c r="D27" s="33" t="n">
        <v>0.3</v>
      </c>
      <c r="E27" s="33" t="n">
        <v>0.1</v>
      </c>
      <c r="F27" s="33" t="n">
        <v>0.12</v>
      </c>
      <c r="G27" s="33" t="n">
        <v>0.08</v>
      </c>
      <c r="H27" s="22" t="n">
        <f aca="false">SUM(B27:G27)</f>
        <v>1</v>
      </c>
    </row>
    <row r="28" customFormat="false" ht="15" hidden="false" customHeight="false" outlineLevel="0" collapsed="false">
      <c r="A28" s="19" t="str">
        <f aca="false">A9</f>
        <v>Klinik kecantikan / kesehatan</v>
      </c>
      <c r="B28" s="33" t="n">
        <v>0.2</v>
      </c>
      <c r="C28" s="33" t="n">
        <v>0.15</v>
      </c>
      <c r="D28" s="33" t="n">
        <v>0.3</v>
      </c>
      <c r="E28" s="33" t="n">
        <v>0.1</v>
      </c>
      <c r="F28" s="33" t="n">
        <v>0.17</v>
      </c>
      <c r="G28" s="33" t="n">
        <v>0.08</v>
      </c>
      <c r="H28" s="22" t="n">
        <f aca="false">SUM(B28:G28)</f>
        <v>1</v>
      </c>
    </row>
    <row r="29" customFormat="false" ht="15" hidden="false" customHeight="false" outlineLevel="0" collapsed="false">
      <c r="A29" s="19" t="str">
        <f aca="false">A10</f>
        <v>Furnitur &amp; dekorasi rumah (big-box)</v>
      </c>
      <c r="B29" s="33" t="n">
        <v>0.32</v>
      </c>
      <c r="C29" s="33" t="n">
        <v>0.18</v>
      </c>
      <c r="D29" s="33" t="n">
        <v>0.24</v>
      </c>
      <c r="E29" s="33" t="n">
        <v>0.1</v>
      </c>
      <c r="F29" s="33" t="n">
        <v>0.08</v>
      </c>
      <c r="G29" s="33" t="n">
        <v>0.08</v>
      </c>
      <c r="H29" s="22" t="n">
        <f aca="false">SUM(B29:G29)</f>
        <v>1</v>
      </c>
    </row>
    <row r="30" customFormat="false" ht="15" hidden="false" customHeight="false" outlineLevel="0" collapsed="false">
      <c r="A30" s="19" t="str">
        <f aca="false">A11</f>
        <v>Perlengkapan rumah &amp; perkakas (big-box)</v>
      </c>
      <c r="B30" s="33" t="n">
        <v>0.4</v>
      </c>
      <c r="C30" s="33" t="n">
        <v>0.17</v>
      </c>
      <c r="D30" s="33" t="n">
        <v>0.17</v>
      </c>
      <c r="E30" s="33" t="n">
        <v>0.1</v>
      </c>
      <c r="F30" s="33" t="n">
        <v>0.09</v>
      </c>
      <c r="G30" s="33" t="n">
        <v>0.07</v>
      </c>
      <c r="H30" s="22" t="n">
        <f aca="false">SUM(B30:G30)</f>
        <v>1</v>
      </c>
    </row>
    <row r="31" customFormat="false" ht="15" hidden="false" customHeight="false" outlineLevel="0" collapsed="false">
      <c r="A31" s="19" t="str">
        <f aca="false">A12</f>
        <v>Apotek / toko kesehatan</v>
      </c>
      <c r="B31" s="33" t="n">
        <v>0.35</v>
      </c>
      <c r="C31" s="33" t="n">
        <v>0.15</v>
      </c>
      <c r="D31" s="33" t="n">
        <v>0.25</v>
      </c>
      <c r="E31" s="33" t="n">
        <v>0.1</v>
      </c>
      <c r="F31" s="33" t="n">
        <v>0.07</v>
      </c>
      <c r="G31" s="33" t="n">
        <v>0.08</v>
      </c>
      <c r="H31" s="22" t="n">
        <f aca="false">SUM(B31:G31)</f>
        <v>1</v>
      </c>
    </row>
    <row r="32" customFormat="false" ht="15" hidden="false" customHeight="false" outlineLevel="0" collapsed="false">
      <c r="A32" s="19" t="str">
        <f aca="false">A13</f>
        <v>Minimarket / grocery</v>
      </c>
      <c r="B32" s="33" t="n">
        <v>0.35</v>
      </c>
      <c r="C32" s="33" t="n">
        <v>0.18</v>
      </c>
      <c r="D32" s="33" t="n">
        <v>0.22</v>
      </c>
      <c r="E32" s="33" t="n">
        <v>0.1</v>
      </c>
      <c r="F32" s="33" t="n">
        <v>0.07</v>
      </c>
      <c r="G32" s="33" t="n">
        <v>0.08</v>
      </c>
      <c r="H32" s="22" t="n">
        <f aca="false">SUM(B32:G32)</f>
        <v>1</v>
      </c>
    </row>
    <row r="33" customFormat="false" ht="15" hidden="false" customHeight="false" outlineLevel="0" collapsed="false">
      <c r="A33" s="19" t="str">
        <f aca="false">A14</f>
        <v>Elektronik / gadget</v>
      </c>
      <c r="B33" s="33" t="n">
        <v>0.3</v>
      </c>
      <c r="C33" s="33" t="n">
        <v>0.18</v>
      </c>
      <c r="D33" s="33" t="n">
        <v>0.22</v>
      </c>
      <c r="E33" s="33" t="n">
        <v>0.12</v>
      </c>
      <c r="F33" s="33" t="n">
        <v>0.1</v>
      </c>
      <c r="G33" s="33" t="n">
        <v>0.08</v>
      </c>
      <c r="H33" s="22" t="n">
        <f aca="false">SUM(B33:G33)</f>
        <v>1</v>
      </c>
    </row>
  </sheetData>
  <mergeCells count="1">
    <mergeCell ref="A2:J2"/>
  </mergeCells>
  <conditionalFormatting sqref="H25:H33">
    <cfRule type="expression" priority="2" aboveAverage="0" equalAverage="0" bottom="0" percent="0" rank="0" text="" dxfId="2">
      <formula>ROUND(H25,4)&lt;&gt;1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2026-10-12T08:22:52Z</dcterms:created>
  <dc:creator>openpyxl</dc:creator>
  <dc:description/>
  <dc:language>en-US</dc:language>
  <cp:lastModifiedBy/>
  <dcterms:modified xsi:type="dcterms:W3CDTF">2026-10-12T08:22:52Z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